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ansantos/Downloads/VITALVIT DATA NUEVA OK/"/>
    </mc:Choice>
  </mc:AlternateContent>
  <xr:revisionPtr revIDLastSave="0" documentId="13_ncr:1_{F62BCBD7-DFF3-4344-86C8-574031A49E2A}" xr6:coauthVersionLast="47" xr6:coauthVersionMax="47" xr10:uidLastSave="{00000000-0000-0000-0000-000000000000}"/>
  <bookViews>
    <workbookView xWindow="0" yWindow="620" windowWidth="38400" windowHeight="20980" activeTab="7" xr2:uid="{00000000-000D-0000-FFFF-FFFF00000000}"/>
  </bookViews>
  <sheets>
    <sheet name="README" sheetId="1" r:id="rId1"/>
    <sheet name="BASE_MODELADA" sheetId="2" r:id="rId2"/>
    <sheet name="DATA_QUALITY" sheetId="3" r:id="rId3"/>
    <sheet name="METODOLOGÍA_CLÍNICA" sheetId="4" r:id="rId4"/>
    <sheet name="OPERATIVO" sheetId="5" r:id="rId5"/>
    <sheet name="DIC_DISLIPIDEMIA" sheetId="6" r:id="rId6"/>
    <sheet name="ORIFLAME" sheetId="7" r:id="rId7"/>
    <sheet name="KIO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8" l="1"/>
  <c r="B37" i="8"/>
  <c r="B36" i="8"/>
  <c r="B32" i="8"/>
  <c r="B31" i="8"/>
  <c r="B30" i="8"/>
  <c r="C26" i="8"/>
  <c r="B26" i="8"/>
  <c r="C25" i="8"/>
  <c r="B25" i="8"/>
  <c r="C24" i="8"/>
  <c r="B24" i="8"/>
  <c r="C23" i="8"/>
  <c r="B23" i="8"/>
  <c r="C22" i="8"/>
  <c r="B22" i="8"/>
  <c r="G17" i="8"/>
  <c r="D17" i="8"/>
  <c r="A17" i="8"/>
  <c r="B38" i="7"/>
  <c r="B37" i="7"/>
  <c r="B36" i="7"/>
  <c r="B32" i="7"/>
  <c r="B31" i="7"/>
  <c r="B30" i="7"/>
  <c r="C26" i="7"/>
  <c r="B26" i="7"/>
  <c r="C25" i="7"/>
  <c r="B25" i="7"/>
  <c r="C24" i="7"/>
  <c r="B24" i="7"/>
  <c r="C23" i="7"/>
  <c r="B23" i="7"/>
  <c r="C22" i="7"/>
  <c r="B22" i="7"/>
  <c r="G17" i="7"/>
  <c r="D17" i="7"/>
  <c r="A17" i="7"/>
  <c r="D26" i="7" l="1"/>
  <c r="D22" i="8"/>
  <c r="E22" i="8" s="1"/>
  <c r="D23" i="7"/>
  <c r="E23" i="7" s="1"/>
  <c r="E26" i="7"/>
  <c r="D26" i="8"/>
  <c r="D23" i="8"/>
  <c r="E23" i="8" s="1"/>
  <c r="D25" i="8"/>
  <c r="E25" i="8" s="1"/>
  <c r="E26" i="8"/>
  <c r="I17" i="8"/>
  <c r="D22" i="7"/>
  <c r="E22" i="7" s="1"/>
  <c r="C30" i="7"/>
  <c r="C31" i="8"/>
  <c r="C36" i="7"/>
  <c r="D24" i="8"/>
  <c r="E24" i="8" s="1"/>
  <c r="D24" i="7"/>
  <c r="E24" i="7" s="1"/>
  <c r="C38" i="8"/>
  <c r="C31" i="7"/>
  <c r="C32" i="7"/>
  <c r="C30" i="8"/>
  <c r="C37" i="7"/>
  <c r="C32" i="8"/>
  <c r="D25" i="7"/>
  <c r="E25" i="7" s="1"/>
  <c r="C38" i="7"/>
  <c r="C36" i="8"/>
  <c r="C37" i="8"/>
  <c r="I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Auditoría BI</author>
  </authors>
  <commentList>
    <comment ref="K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KPIs con denominador dinámico ("Muestra aplicable").
Para cada indicador, la base = registros con el/los campos requeridos NO vacíos/NO NA.
Ejemplos:
• Diabetes/Prediabetes: base = registros con Glicemia/DM clasificada.
• Hipertensión: base = registros con HAS/HTA clasificada.
• Sobrepeso/Obesidad: base = registros con IMC clasificado.
Esto evita inflar prevalencias por datos faltantes.
Definiciones completas en la pestaña README.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Auditoría BI</author>
  </authors>
  <commentList>
    <comment ref="K1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KPIs con denominador dinámico ("Muestra aplicable").
Para cada indicador, la base = registros con el/los campos requeridos NO vacíos/NO NA.
Ejemplos:
• Diabetes/Prediabetes: base = registros con Glicemia/DM clasificada.
• Hipertensión: base = registros con HAS/HTA clasificada.
• Sobrepeso/Obesidad: base = registros con IMC clasificado.
Esto evita inflar prevalencias por datos faltantes.
Definiciones completas en la pestaña README.</t>
        </r>
      </text>
    </comment>
  </commentList>
</comments>
</file>

<file path=xl/sharedStrings.xml><?xml version="1.0" encoding="utf-8"?>
<sst xmlns="http://schemas.openxmlformats.org/spreadsheetml/2006/main" count="7065" uniqueCount="580">
  <si>
    <t>Reporte Vitalbit - Dashboard Ejecutivo (Cliente)</t>
  </si>
  <si>
    <t>Definiciones clave:</t>
  </si>
  <si>
    <t>• Total RAW: todos los registros consolidados desde DESGLOSE ACSVD (sin recortes).</t>
  </si>
  <si>
    <t>• Muestra aplicable: denominador dinámico según la condición seleccionada (solo registros con ese dato disponible).</t>
  </si>
  <si>
    <t>• Prediabetes: incluye GAA o glucosa 100–125 mg/dL (cuando solo hay valor numérico).</t>
  </si>
  <si>
    <t>• HTA vs Pre-HTA: se reportan por separado; Pre-HTA NO se cuenta como HTA.</t>
  </si>
  <si>
    <t>• Dislipidemia: usa columna explícita si existe; si falta, regla &gt;200 usando CT (o columnas equivalentes).</t>
  </si>
  <si>
    <t>Cómo usar:</t>
  </si>
  <si>
    <t>1) Abre pestaña ORIFLAME o KIO.</t>
  </si>
  <si>
    <t>2) Ajusta filtros (Sexo, Edad, Condición, Jornada y Población en KIO).</t>
  </si>
  <si>
    <t>3) KPIs y gráficas se actualizan automáticamente.</t>
  </si>
  <si>
    <t>Trazabilidad:</t>
  </si>
  <si>
    <t>• Revisa DATA_QUALITY y DIC_DISLIPIDEMIA para ver cobertura por archivo y reglas aplicadas.</t>
  </si>
  <si>
    <t>Cliente</t>
  </si>
  <si>
    <t>Fuente</t>
  </si>
  <si>
    <t>Jornada</t>
  </si>
  <si>
    <t>Poblacion</t>
  </si>
  <si>
    <t>Empresa_raw</t>
  </si>
  <si>
    <t>Nombre</t>
  </si>
  <si>
    <t>Edad</t>
  </si>
  <si>
    <t>Sexo</t>
  </si>
  <si>
    <t>Rango_Edad</t>
  </si>
  <si>
    <t>DM_Cat</t>
  </si>
  <si>
    <t>Diabetes_Flag</t>
  </si>
  <si>
    <t>Prediabetes_Flag</t>
  </si>
  <si>
    <t>DM_Aplicable</t>
  </si>
  <si>
    <t>HTA_Cat</t>
  </si>
  <si>
    <t>HTA_Flag</t>
  </si>
  <si>
    <t>PreHTA_Flag</t>
  </si>
  <si>
    <t>HTA_Aplicable</t>
  </si>
  <si>
    <t>IMC_Cat</t>
  </si>
  <si>
    <t>Sobrepeso_Flag</t>
  </si>
  <si>
    <t>Obesidad_Flag</t>
  </si>
  <si>
    <t>IMC_Aplicable</t>
  </si>
  <si>
    <t>Tabaquismo</t>
  </si>
  <si>
    <t>Fumador_Flag</t>
  </si>
  <si>
    <t>Tabaq_Aplicable</t>
  </si>
  <si>
    <t>Dislipidemia</t>
  </si>
  <si>
    <t>Disli_Flag</t>
  </si>
  <si>
    <t>Disli_Aplicable</t>
  </si>
  <si>
    <t>Disli_Fuente</t>
  </si>
  <si>
    <t>Inscripcion</t>
  </si>
  <si>
    <t>Cuestionario</t>
  </si>
  <si>
    <t>Tiene_Labs</t>
  </si>
  <si>
    <t>Demo_Valido</t>
  </si>
  <si>
    <t>ORIFLAME</t>
  </si>
  <si>
    <t>Oriflame</t>
  </si>
  <si>
    <t>MICHELLE ALAN VÁZQUEZ LUNA</t>
  </si>
  <si>
    <t>MASCULINO</t>
  </si>
  <si>
    <t>26-35</t>
  </si>
  <si>
    <t>NORMAL</t>
  </si>
  <si>
    <t>NORMOPESO</t>
  </si>
  <si>
    <t>SI</t>
  </si>
  <si>
    <t>NO</t>
  </si>
  <si>
    <t>EXPL</t>
  </si>
  <si>
    <t>SAMANTA ABIGAIL RAMIREZ SANDOVAL</t>
  </si>
  <si>
    <t>FEMENINO</t>
  </si>
  <si>
    <t>NURIA ITZEL FERREYRA ROMERO</t>
  </si>
  <si>
    <t>JUAN MANUEL LOPEZ RODRIGUEZ</t>
  </si>
  <si>
    <t>DIABETES</t>
  </si>
  <si>
    <t>OBESIDAD</t>
  </si>
  <si>
    <t>FERNANDA CAROLINA MUÑIZ QUEZADA</t>
  </si>
  <si>
    <t>SOBREPESO</t>
  </si>
  <si>
    <t>MARIBEL COLÍN JIMÉNEZ</t>
  </si>
  <si>
    <t>36-45</t>
  </si>
  <si>
    <t>PRE-HTA</t>
  </si>
  <si>
    <t>MÓNICA CATHERIN SALAZAR VELÁZQUEZ</t>
  </si>
  <si>
    <t>18-25</t>
  </si>
  <si>
    <t>ANGÉLICA MÁRQUEZ MARTÍNEZ</t>
  </si>
  <si>
    <t>OSCAR MATUS GARCIA</t>
  </si>
  <si>
    <t>46-55</t>
  </si>
  <si>
    <t>SANDRA BELÉN GALICIA ESPINOZA</t>
  </si>
  <si>
    <t>NANCY LUCERO MORENO VILLASEÑOR</t>
  </si>
  <si>
    <t>HTA</t>
  </si>
  <si>
    <t>PAULINA ISABEL PRIEGO QUEVEDO</t>
  </si>
  <si>
    <t>YANETH LOPEZ BAZAN</t>
  </si>
  <si>
    <t>ESTELA JOSEFINA OCHOA DE LA TORRE</t>
  </si>
  <si>
    <t>DIANA LETICIA MONTES DE OCA DE LEÓN</t>
  </si>
  <si>
    <t>LUIS GERARDO CORREA RAMIREZ</t>
  </si>
  <si>
    <t>TANYA ESMERALDA ALBA ZÚÑIGA</t>
  </si>
  <si>
    <t>EDUARDO DAMIAN NUÑO MEJÍA</t>
  </si>
  <si>
    <t>STEPHANIE HAIDENBERG HEMSANI</t>
  </si>
  <si>
    <t>ERIK FRANCO GONZÁLEZ</t>
  </si>
  <si>
    <t>ANDRES TORRES MARTINEZ</t>
  </si>
  <si>
    <t>PABLO MEDEL BERISTAIN</t>
  </si>
  <si>
    <t>56+</t>
  </si>
  <si>
    <t>ORALIA CONCEPCIÓN PIÑA MARCIAL</t>
  </si>
  <si>
    <t>YOLANDA DE LOURDES MONTES DE OCA GÓMEZ</t>
  </si>
  <si>
    <t>ROSILMA ALVARADO JOSE</t>
  </si>
  <si>
    <t>ADRIÁN SALGADO LÓPEZ</t>
  </si>
  <si>
    <t>CARLOS OMAR DIAZ PIÑA</t>
  </si>
  <si>
    <t>NA</t>
  </si>
  <si>
    <t>KIO</t>
  </si>
  <si>
    <t>KIO 24</t>
  </si>
  <si>
    <t>2025-11-24</t>
  </si>
  <si>
    <t>IT SERVICES</t>
  </si>
  <si>
    <t>IT</t>
  </si>
  <si>
    <t>Maria Azucena Sánchez Hernández</t>
  </si>
  <si>
    <t>OK</t>
  </si>
  <si>
    <t>Blanca Monica Perez Garcia</t>
  </si>
  <si>
    <t>Rodrigo Galindo Mello</t>
  </si>
  <si>
    <t>Emma Cristina Alguera Villicaña</t>
  </si>
  <si>
    <t>Alejandra Felisa Molina Cañas</t>
  </si>
  <si>
    <t>Joaquin Antonio Rodriguez Rojas</t>
  </si>
  <si>
    <t>Ana Larisa Carmona Landeros</t>
  </si>
  <si>
    <t>Leopoldo Humberto Vidal Reyna</t>
  </si>
  <si>
    <t>Delia Debora Sanchez Palma</t>
  </si>
  <si>
    <t>Mario Antonio Perez Hernandez</t>
  </si>
  <si>
    <t>Victor Andrés Mendoza Orozco</t>
  </si>
  <si>
    <t>Pablo Cesar Martinez Mejia</t>
  </si>
  <si>
    <t>Gabriel Villerias Fernandez</t>
  </si>
  <si>
    <t>Christian Alejandro Miguel Diaz</t>
  </si>
  <si>
    <t>SIN CLASIFICAR</t>
  </si>
  <si>
    <t>?</t>
  </si>
  <si>
    <t>Jesus Alfredo Hernández Moreno</t>
  </si>
  <si>
    <t>Maria Del Refugio Liliana Villa Diaz</t>
  </si>
  <si>
    <t>Oscar Urrutia Siordia</t>
  </si>
  <si>
    <t>Itzel Ariadna Septimo Govea</t>
  </si>
  <si>
    <t>Ana Laura Gutierrez Arellano</t>
  </si>
  <si>
    <t>Maria Nallely Sánchez Santillan</t>
  </si>
  <si>
    <t>Leticia Hernández Coronel</t>
  </si>
  <si>
    <t>Juan Eduardo Ramos Mendoza</t>
  </si>
  <si>
    <t>Alvaro Martínez Hernandez</t>
  </si>
  <si>
    <t>Rafael Abraham Rosas Pichardo</t>
  </si>
  <si>
    <t>Claudia Torres Cruz</t>
  </si>
  <si>
    <t>Francisco Javier Ramos Gonzalez</t>
  </si>
  <si>
    <t>Juan Alberto Alvarez Cid</t>
  </si>
  <si>
    <t>Nathalie Reyes Zauco</t>
  </si>
  <si>
    <t>Liliana Itzel Ramon Uceda</t>
  </si>
  <si>
    <t>Victor Raul Marin Ceron</t>
  </si>
  <si>
    <t>Jose Demetrio Martinez Anaya</t>
  </si>
  <si>
    <t>PENDIENTE</t>
  </si>
  <si>
    <t>Monica Galindo Velazquez</t>
  </si>
  <si>
    <t>Christian Antonio Perez Hernandez</t>
  </si>
  <si>
    <t>Aldo Alan García Herrera</t>
  </si>
  <si>
    <t>Candy Valdez Velazco</t>
  </si>
  <si>
    <t>Veronica Balcazar Molina</t>
  </si>
  <si>
    <t>Jeik Marino Gonzales Rangel</t>
  </si>
  <si>
    <t>Luis Fernando Mendoza  Rivera</t>
  </si>
  <si>
    <t>Alfredo Fabián Sanchez Colin</t>
  </si>
  <si>
    <t>Miguel Angel Jimenez Cruces</t>
  </si>
  <si>
    <t>Edgar Olvera Cortes</t>
  </si>
  <si>
    <t>Eduardo Sosa Sánchez</t>
  </si>
  <si>
    <t>Hector Manuel Ocaña Sacramento</t>
  </si>
  <si>
    <t>PREDIABETES</t>
  </si>
  <si>
    <t>Martha Lorena Werner Camarena</t>
  </si>
  <si>
    <t>Fernando Palacios Saavedra</t>
  </si>
  <si>
    <t>Gustavo Camacho Vazquez</t>
  </si>
  <si>
    <t>Moises Salgado Hernandez</t>
  </si>
  <si>
    <t>Mireya Mendoza Mendoza</t>
  </si>
  <si>
    <t>Enrique Eduardo Flores Gallardo</t>
  </si>
  <si>
    <t>Marisol Estrada Salinas</t>
  </si>
  <si>
    <t>Karla Adriana Cosio Rincon</t>
  </si>
  <si>
    <t>JO_RULE</t>
  </si>
  <si>
    <t>Fidel Berrun Flores</t>
  </si>
  <si>
    <t>Margarita Karla Velazques Navarro</t>
  </si>
  <si>
    <t>Jose Israel Lopez Zavala</t>
  </si>
  <si>
    <t>Alicia Carolina Flores Rodriguez</t>
  </si>
  <si>
    <t>Daniel Abisai Hernandez Rodriguez</t>
  </si>
  <si>
    <t>Alan Enrique Martinez Flores</t>
  </si>
  <si>
    <t>Daniel Aldama Lagos</t>
  </si>
  <si>
    <t>Hugo Antonio Ojeda Ledesma</t>
  </si>
  <si>
    <t>Javier Fernando Diaz Hernandez</t>
  </si>
  <si>
    <t>Jose Jesus Perez Argueta</t>
  </si>
  <si>
    <t>Elias Alanis Rodriguez Merino</t>
  </si>
  <si>
    <t>Inscripción</t>
  </si>
  <si>
    <t>No aparece en ningún lado</t>
  </si>
  <si>
    <t>Kio 25</t>
  </si>
  <si>
    <t>2025-11-25</t>
  </si>
  <si>
    <t>Diaz Rivas Jose Jesus</t>
  </si>
  <si>
    <t>De La Cruz Hernandez Jose</t>
  </si>
  <si>
    <t>Balderas Herrera Eduardo</t>
  </si>
  <si>
    <t>Peñaloza Rosas Pedro</t>
  </si>
  <si>
    <t>Rizo Chavez Cesar Ismael</t>
  </si>
  <si>
    <t>Rojas Reyes Armando</t>
  </si>
  <si>
    <t>Rivera Guillen Yesica Tamara</t>
  </si>
  <si>
    <t>Contreras Romero Keila</t>
  </si>
  <si>
    <t>Santillan Hernandez Argelia Monserrat</t>
  </si>
  <si>
    <t>Troche Sanchez Jorge Antonio</t>
  </si>
  <si>
    <t>Cruz Mejia Yazmin</t>
  </si>
  <si>
    <t>Ponce Rodriguez Elsa</t>
  </si>
  <si>
    <t>Neri Castillo Ricardo Alberto</t>
  </si>
  <si>
    <t>Rodriguez Olivarez Alan Tai</t>
  </si>
  <si>
    <t>Reyes Martinez Maria De Lourdes</t>
  </si>
  <si>
    <t>Gomez Santiago Miguel Angel</t>
  </si>
  <si>
    <t>Caballero Rocha Luis Miguel</t>
  </si>
  <si>
    <t>Reyes Hernández Laura</t>
  </si>
  <si>
    <t>Medina Lopez Victoria</t>
  </si>
  <si>
    <t>Cabrera Velazquez Teresa</t>
  </si>
  <si>
    <t>Martinez Ceballos Maria Guadalupe</t>
  </si>
  <si>
    <t>Pacheco Juarez Christian Adan</t>
  </si>
  <si>
    <t>Rangel Medina Fernando</t>
  </si>
  <si>
    <t>Cortes Sanchez Elva</t>
  </si>
  <si>
    <t>Jimenez Ramos Wendy Yoselin</t>
  </si>
  <si>
    <t>Bautista Estrada Jose Vicente</t>
  </si>
  <si>
    <t>Tellechea Lopez Miguel Santiago</t>
  </si>
  <si>
    <t>Vallejo Trapala Jonathan Javier</t>
  </si>
  <si>
    <t>Perrusquia Chavez Francisca</t>
  </si>
  <si>
    <t>Ballesteros Robledo Alberto Gerardo</t>
  </si>
  <si>
    <t>Tejeda Perez Graciela</t>
  </si>
  <si>
    <t>Remigio Ramos Guadalupe</t>
  </si>
  <si>
    <t>Alvarez Velasco Oscar Dario</t>
  </si>
  <si>
    <t>Nava Ramirez Nereyda</t>
  </si>
  <si>
    <t>Garcia Mendoza Alan</t>
  </si>
  <si>
    <t>Castañeda Ramirez Paulina</t>
  </si>
  <si>
    <t>Barragan Pacheco Diana Lorena</t>
  </si>
  <si>
    <t>Vasquez Neri Marcos Alberto</t>
  </si>
  <si>
    <t>Lopez Fuentes Viridiana Rosalia</t>
  </si>
  <si>
    <t>Rivera Espinoza Juan Carlos</t>
  </si>
  <si>
    <t>Navarrete Larios Blanca Wendolin</t>
  </si>
  <si>
    <t>Mindiola Luna Kenny Darwin</t>
  </si>
  <si>
    <t>Cordova Iberry Dario Emanuel</t>
  </si>
  <si>
    <t>Vazquez Ascencio Mariana Itzel</t>
  </si>
  <si>
    <t>Alvarez Arriaga Elizabeth Miguel</t>
  </si>
  <si>
    <t>Lopez Diaz Angelica</t>
  </si>
  <si>
    <t>Montes De Oca Barbosa Juan Domingo</t>
  </si>
  <si>
    <t>Jimenez Morales Dania Ivonne</t>
  </si>
  <si>
    <t>Cueto Aguirre Alfonso</t>
  </si>
  <si>
    <t>Munguia Garcia Zuleiga Rosalba</t>
  </si>
  <si>
    <t>Rafaela Hernandez Juan Diego</t>
  </si>
  <si>
    <t>Elizalde Mastache Ariadna</t>
  </si>
  <si>
    <t>Caballero Lopez Eusebio</t>
  </si>
  <si>
    <t>Garcia Suarez Kevin Raul</t>
  </si>
  <si>
    <t>Lopez Lopez Enrique</t>
  </si>
  <si>
    <t>Lopez Fernandez Monica Isabel</t>
  </si>
  <si>
    <t>Pantoja Gonzalez Orquidea</t>
  </si>
  <si>
    <t>**IT (falta enciso)</t>
  </si>
  <si>
    <t>Morales Enciso Jesus</t>
  </si>
  <si>
    <t>Monjaraz Gutierrez Marco Antonio</t>
  </si>
  <si>
    <t>Hernandez Vazquez Oscar Rolando</t>
  </si>
  <si>
    <t>Sanabria Ibarra Ana Maria</t>
  </si>
  <si>
    <t>Del Angel Trejo Emilio</t>
  </si>
  <si>
    <t>Hernandez Barajas Rafael</t>
  </si>
  <si>
    <t>Andrade Angeles Uziel Sebastian</t>
  </si>
  <si>
    <t>Hernandez Lopez Jennifer</t>
  </si>
  <si>
    <t>Saldaña Garcia Jesus Antonio</t>
  </si>
  <si>
    <t>Matias Ricaño Jessica Viridiana</t>
  </si>
  <si>
    <t>Romero Luna Aldo Alfonso</t>
  </si>
  <si>
    <t>Mendoza Pichardo Silvia Nayeli</t>
  </si>
  <si>
    <t>Fernandez Escamilla Leonardo</t>
  </si>
  <si>
    <t>Martinez Heredia Jose Antonio</t>
  </si>
  <si>
    <t>Martinez Mejia Jose Luis</t>
  </si>
  <si>
    <t>Nava Arevalo Luis Angel</t>
  </si>
  <si>
    <t>Ruiz Benitez Marisol</t>
  </si>
  <si>
    <t>Gomez Rojas Yosemin</t>
  </si>
  <si>
    <t>Segundo Escudero Luis</t>
  </si>
  <si>
    <t>Renteria Gomez Efrain</t>
  </si>
  <si>
    <t>Garcia Rojas Ana Laura</t>
  </si>
  <si>
    <t>Rodriguez Rodriguez Felipe De Jesus</t>
  </si>
  <si>
    <t>Antunez Flores Oscar Josue</t>
  </si>
  <si>
    <t>Salinas Espinoza Edgar Fidel</t>
  </si>
  <si>
    <t>Velasco Chi Ana Lilia</t>
  </si>
  <si>
    <t>Lazcano Amador Juan</t>
  </si>
  <si>
    <t>Carrion Gaitan Henry David</t>
  </si>
  <si>
    <t>Volbre Mora Victor Antonio</t>
  </si>
  <si>
    <t>Torres Baez Midori Naomi</t>
  </si>
  <si>
    <t>Santamaria Rodriguez Noemi</t>
  </si>
  <si>
    <t>Tinoco Barranco Carolina</t>
  </si>
  <si>
    <t>Juarez Benitez Ernesto</t>
  </si>
  <si>
    <t>Estrada Jimenez Blanca Estela</t>
  </si>
  <si>
    <t>Rodriguez Lopez Sonia</t>
  </si>
  <si>
    <t>Gonzalez Ramirez Dafne Miryam</t>
  </si>
  <si>
    <t>Conejo Gutierrez Sonia Luz</t>
  </si>
  <si>
    <t>Ullrich Medrano Ingrid Marlene</t>
  </si>
  <si>
    <t>Fuentes Romero Brenda Daniela</t>
  </si>
  <si>
    <t>Tarango Cernas Tania Paola</t>
  </si>
  <si>
    <t>Fuentes Gomez Carlos Ismael</t>
  </si>
  <si>
    <t>Bueno Godinez Liza Alejandra</t>
  </si>
  <si>
    <t>Vigil Elias Luis Alberto</t>
  </si>
  <si>
    <t>Ramon Silva Jonathan Agustin</t>
  </si>
  <si>
    <t>Padilla Marquez Stephania Alejandra</t>
  </si>
  <si>
    <t>Ramirez Perez Ingrid Ariatne</t>
  </si>
  <si>
    <t>Vargas Davila Luz Elena</t>
  </si>
  <si>
    <t>Zarate Ayon Ingrid Jocelyn</t>
  </si>
  <si>
    <t>Sanchez Torres Luis Enrique</t>
  </si>
  <si>
    <t>Arias Martinez Nancy Ayde</t>
  </si>
  <si>
    <t>Gonzalez Vargas Lilian Gabriela</t>
  </si>
  <si>
    <t>Rodriguez Avila Luis Antonio</t>
  </si>
  <si>
    <t>Barragan Gonzalez Jorge Andres</t>
  </si>
  <si>
    <t>Zuñiga Morales Martin Daniel</t>
  </si>
  <si>
    <t>Quezada Pablo Tania</t>
  </si>
  <si>
    <t>Gonzalez Romero Karla Monserrat</t>
  </si>
  <si>
    <t>Salgado Lopez Edgar</t>
  </si>
  <si>
    <t>Elizalde Alvarado Enrique</t>
  </si>
  <si>
    <t>Petterzon Medina Abigail Areli</t>
  </si>
  <si>
    <t>Salcedo Garcia Aaron Ernesto</t>
  </si>
  <si>
    <t>Aguilera Mendez Gabriela</t>
  </si>
  <si>
    <t>Barbosa Araujo Jazmin</t>
  </si>
  <si>
    <t>Hernandez Ramirez Jaime</t>
  </si>
  <si>
    <t>9:38 PM</t>
  </si>
  <si>
    <t>No aparece en ningún lado  4</t>
  </si>
  <si>
    <t>Kio 26</t>
  </si>
  <si>
    <t>2025-11-26</t>
  </si>
  <si>
    <t>Cazares Ramos Edson Sinuhe</t>
  </si>
  <si>
    <t>Torres Vergara Jose Ivan</t>
  </si>
  <si>
    <t>Juarez Morales Pedro</t>
  </si>
  <si>
    <t>Rosales Herrera Ernesto</t>
  </si>
  <si>
    <t>Martinez Salinas Cesar Ivan</t>
  </si>
  <si>
    <t>Zamora Vazquez Ricardo</t>
  </si>
  <si>
    <t>Lerma Martinez David</t>
  </si>
  <si>
    <t>Cruz Cano Omar</t>
  </si>
  <si>
    <t>Rodriguez Munguia Jeanette</t>
  </si>
  <si>
    <t>Mora Rodriguez Ximena</t>
  </si>
  <si>
    <t>Dominguez Sanchez Judith</t>
  </si>
  <si>
    <t>Avila Rojas Alejandro</t>
  </si>
  <si>
    <t>Deloiza Acosta Guillermo</t>
  </si>
  <si>
    <t>Arrioja Godinez Miguel Anguel</t>
  </si>
  <si>
    <t>Arias Diaz Raul</t>
  </si>
  <si>
    <t>Olvera Reyes Luis Alfonso</t>
  </si>
  <si>
    <t>Marin Galvan Elizabeth Diana</t>
  </si>
  <si>
    <t>Perez Gomez Giovanni</t>
  </si>
  <si>
    <t>Guzman Rodriguez Itzel Wendoline</t>
  </si>
  <si>
    <t>Berber Chavez Gerardo</t>
  </si>
  <si>
    <t>Reyes Morales Erick Eduardo</t>
  </si>
  <si>
    <t>Valdez Martinez Mitzy Berenice</t>
  </si>
  <si>
    <t>Benitez Palacios Liliana Itzel</t>
  </si>
  <si>
    <t>Hernandez Guadarrama Maria Elena</t>
  </si>
  <si>
    <t>Garcia Pichardo America</t>
  </si>
  <si>
    <t>Salas Jimenez Katty Paola</t>
  </si>
  <si>
    <t>Ramirez Patiño Tania Mabel</t>
  </si>
  <si>
    <t>Mejia Reyes Aaron</t>
  </si>
  <si>
    <t>Flores Vargas Israel Armando</t>
  </si>
  <si>
    <t>Gomez Vazquez Ernesto Jesus</t>
  </si>
  <si>
    <t>Ocampo Arce Christian Jesus</t>
  </si>
  <si>
    <t>Rodriguez Romero Antonio</t>
  </si>
  <si>
    <t>Del Rivero Romero Emmanuel</t>
  </si>
  <si>
    <t>Magaña Ibañez Sara Isela</t>
  </si>
  <si>
    <t>Tirado Cano Itzel Odette</t>
  </si>
  <si>
    <t>Quijada Esparza Samantha Danitzia</t>
  </si>
  <si>
    <t>Maya Ugalde Andrea</t>
  </si>
  <si>
    <t>Mondragon Ramirez Omar Gabriel</t>
  </si>
  <si>
    <t>Jimenez Esparza Israel</t>
  </si>
  <si>
    <t>Rodriguez Dominguez Marena Angelica</t>
  </si>
  <si>
    <t>Ramirez Sarabia Martha Elena</t>
  </si>
  <si>
    <t>Cu Perez Jose Angel</t>
  </si>
  <si>
    <t>Cortes Olvera Oswaldo</t>
  </si>
  <si>
    <t>Correa Aguilar Violeta</t>
  </si>
  <si>
    <t>Samayoa Silva Brenda Edith</t>
  </si>
  <si>
    <t>De La Madrid Fuentes Guillermo</t>
  </si>
  <si>
    <t>Gasca Porres Diana Guadalupe</t>
  </si>
  <si>
    <t>Galindo Diaz Ariana Monserrat</t>
  </si>
  <si>
    <t>Mejia Ortega Cecilia</t>
  </si>
  <si>
    <t>Villanueva Silva Geovanni</t>
  </si>
  <si>
    <t>Zamudio Ruiz Alfonso</t>
  </si>
  <si>
    <t>Haro Hernandez Jorge Didhier</t>
  </si>
  <si>
    <t>Leyva Meza Ilse Nayelly</t>
  </si>
  <si>
    <t>Perez Campa Isaura</t>
  </si>
  <si>
    <t>Rios Oropeza Monserrat</t>
  </si>
  <si>
    <t>Medellin Ramirez Simon Fernando</t>
  </si>
  <si>
    <t>Martinez Dominguez Sara Margarita</t>
  </si>
  <si>
    <t>Ruiz Sanchez Sandra Alejandra</t>
  </si>
  <si>
    <t>Miranda Sandoval Jesus</t>
  </si>
  <si>
    <t>Serrano Martinez Oscar</t>
  </si>
  <si>
    <t>Martinez Laguna Monica</t>
  </si>
  <si>
    <t>Orozco Avila Maria Eugenia</t>
  </si>
  <si>
    <t>No aparecen en ningún lado 17</t>
  </si>
  <si>
    <t>Kio 27</t>
  </si>
  <si>
    <t>2025-11-27</t>
  </si>
  <si>
    <t>Gonzalez Mendoza Juan Bernardo</t>
  </si>
  <si>
    <t>CT_RULE</t>
  </si>
  <si>
    <t>Diaz Trujano Pedro</t>
  </si>
  <si>
    <t>Robles Monroy Luis Alejandro</t>
  </si>
  <si>
    <t>Martinez Bela Bernardo Javier</t>
  </si>
  <si>
    <t>Pineda Hernandez Isaac Jair</t>
  </si>
  <si>
    <t>Sanchez Salas Angel Moises</t>
  </si>
  <si>
    <t>Aburto Tovar Sandra Lorena</t>
  </si>
  <si>
    <t>Ibarra Loyo Alfonso Alan</t>
  </si>
  <si>
    <t>Troche Reyes Jorge</t>
  </si>
  <si>
    <t>Espejel Leon Hector</t>
  </si>
  <si>
    <t>Hernandez Lopez Roberto Carlos</t>
  </si>
  <si>
    <t>Jacinto Martinez Carlos Moises</t>
  </si>
  <si>
    <t>DATA CENTERS</t>
  </si>
  <si>
    <t>DATA</t>
  </si>
  <si>
    <t>Gonzalez Hernandez Rosa Gabriela</t>
  </si>
  <si>
    <t>Martinez Meza Manuel Alberto</t>
  </si>
  <si>
    <t>Crespo Murillo Nora Alicia</t>
  </si>
  <si>
    <t>Perez Hernandez Claudia</t>
  </si>
  <si>
    <t>Chavez Barrios Brenda Monserrat</t>
  </si>
  <si>
    <t>Martinez Jimenez Giovanna Charlene</t>
  </si>
  <si>
    <t>Flores Vasconcelos Susana</t>
  </si>
  <si>
    <t>Narciso Ruiz Gustavo</t>
  </si>
  <si>
    <t>Garduño Manuel Daniela Saray</t>
  </si>
  <si>
    <t>Alvarez Carrillo Violeta</t>
  </si>
  <si>
    <t>Mejia Dorantes Lucelly Verenice</t>
  </si>
  <si>
    <t>Martinez Medina Oscar Alejandro</t>
  </si>
  <si>
    <t>Flores Ortiz Jose</t>
  </si>
  <si>
    <t>Ortiz Medina Mario Augusto</t>
  </si>
  <si>
    <t>Sanchez Oca Rafael</t>
  </si>
  <si>
    <t>Mercado Galicia Paola</t>
  </si>
  <si>
    <t>Cortes Herrera Maria Adoracion</t>
  </si>
  <si>
    <t>Reyes Pegueros Lidia Edith</t>
  </si>
  <si>
    <t>Diaz Gonzalez Christian Eder</t>
  </si>
  <si>
    <t>Alcantara Castillo Jhoan</t>
  </si>
  <si>
    <t>Olivares Renteria Francisco</t>
  </si>
  <si>
    <t>Morales Santander Carlos Alberto</t>
  </si>
  <si>
    <t>Avila Monsalvo Jafet Yamir</t>
  </si>
  <si>
    <t>Diaz Cruz Raul</t>
  </si>
  <si>
    <t>Dominguez Casco Ana Laura</t>
  </si>
  <si>
    <t>Noriega Lopez Jose Luis</t>
  </si>
  <si>
    <t>Ruiz Reyes Alejandro</t>
  </si>
  <si>
    <t>Rangel Moreno Arturo</t>
  </si>
  <si>
    <t>Saavedra Pilar Fabiola</t>
  </si>
  <si>
    <t>Rosales Sanchez Diego Javier</t>
  </si>
  <si>
    <t>Rincon Ruiz Hugo David</t>
  </si>
  <si>
    <t>Serrano Sanson Jorge Alejandro</t>
  </si>
  <si>
    <t>Mendoza Leal Bryan Zuriel</t>
  </si>
  <si>
    <t>Muñoz Rodriguez Abigail</t>
  </si>
  <si>
    <t>Callejo Quiroz Cesar Roman</t>
  </si>
  <si>
    <t>Sanchez Sanchez Miguel Angel</t>
  </si>
  <si>
    <t>Rodriguez Mendoza Ema Beatriz</t>
  </si>
  <si>
    <t>Cruz Resendiz Grecia</t>
  </si>
  <si>
    <t>Garcia Ascencio Carlos Manuel</t>
  </si>
  <si>
    <t>Guillen Galindo Cesar Osvaldo</t>
  </si>
  <si>
    <t>Benitez Hernandez Erick</t>
  </si>
  <si>
    <t>Labra Salas Eloisa</t>
  </si>
  <si>
    <t>Martinez Tovar Andres</t>
  </si>
  <si>
    <t>Ramirez Cervantes Jessica Marlene</t>
  </si>
  <si>
    <t>Arellano Blas Julissa</t>
  </si>
  <si>
    <t>Jimenez Trejo Luis Enrique</t>
  </si>
  <si>
    <t>Guzman Trejo Omar</t>
  </si>
  <si>
    <t>Zuñiga Velazquez Dinora Guadalupe</t>
  </si>
  <si>
    <t>Ruiz Santiago Manuel Alexander</t>
  </si>
  <si>
    <t>Garcia Garces Juan Jose</t>
  </si>
  <si>
    <t>Vazquez Cano Jose Luis</t>
  </si>
  <si>
    <t>Rodriguez Tapia Daniela</t>
  </si>
  <si>
    <t>Camacho Garcia Eduardo</t>
  </si>
  <si>
    <t>Castañeda Ramirez Mayra Alejandra</t>
  </si>
  <si>
    <t>Infante Almaraz Angel Guadalupe</t>
  </si>
  <si>
    <t>Alvarez Gonzalez Jessica</t>
  </si>
  <si>
    <t>Gandarilla Perez Laura Marlene</t>
  </si>
  <si>
    <t>Peña Palmeros Omar</t>
  </si>
  <si>
    <t>Ramirez Nequis Raul Octavio</t>
  </si>
  <si>
    <t>Flores Morales Jose Emmanuel</t>
  </si>
  <si>
    <t>Garcia Rodriguez Erik Samuel</t>
  </si>
  <si>
    <t>Ponce Ruiz Miguel Angel</t>
  </si>
  <si>
    <t>Gonzalez Huerta Erik Gioovani</t>
  </si>
  <si>
    <t>Vega Bautista Alejandrina</t>
  </si>
  <si>
    <t>Aguirre Ortiz Jaime</t>
  </si>
  <si>
    <t>Linares Asiain Alejandro Isaac</t>
  </si>
  <si>
    <t>Garduño Martinez Ricardo</t>
  </si>
  <si>
    <t>Ramirez Gonzalez Juan</t>
  </si>
  <si>
    <t>No aparecen en ningun lado 6</t>
  </si>
  <si>
    <t>Kio 2 dic</t>
  </si>
  <si>
    <t>2025-12-02</t>
  </si>
  <si>
    <t>Galvan Garcia Jazmin</t>
  </si>
  <si>
    <t>Bernabe Olea Lizbeth</t>
  </si>
  <si>
    <t>Regino Carmona Luis Martin</t>
  </si>
  <si>
    <t>Jimenez Ruiz Moises</t>
  </si>
  <si>
    <t>Reyes Contla Mario Alberto</t>
  </si>
  <si>
    <t>Alvarez Robledo Edgar Abraham</t>
  </si>
  <si>
    <t>Morales Gaytan Beatriz</t>
  </si>
  <si>
    <t>Castorena Aguilar Amanda</t>
  </si>
  <si>
    <t>Camarillo Rosas Juan Manuel</t>
  </si>
  <si>
    <t>Buendia Palmerin Ricardo</t>
  </si>
  <si>
    <t>Garcia Minero Raquel Rosario</t>
  </si>
  <si>
    <t>Lopez Nuñez David</t>
  </si>
  <si>
    <t>Sanchez Hernadez Ariana</t>
  </si>
  <si>
    <t>Interlomas</t>
  </si>
  <si>
    <t>Saenz Leon Marco Antonio</t>
  </si>
  <si>
    <t>Garduño Miranda Carolina</t>
  </si>
  <si>
    <t>Jimenez Carrera Sandra Victoria</t>
  </si>
  <si>
    <t>Leon Romero Raquel Aayde</t>
  </si>
  <si>
    <t>Lopera Rodriguez Leidy Carolina</t>
  </si>
  <si>
    <t>Mendez Godinez Mireya</t>
  </si>
  <si>
    <t>Cejas Gandara Maria Evangelina</t>
  </si>
  <si>
    <t>Rodriguez Lezama Diego</t>
  </si>
  <si>
    <t>Garcia Fajer Andres</t>
  </si>
  <si>
    <t>Monjardin Cueller Ana  Sofia</t>
  </si>
  <si>
    <t>Linoz Luque Maybyb Alejandra</t>
  </si>
  <si>
    <t>Rosas Robles Obed</t>
  </si>
  <si>
    <t>Gonzalez Morales Lizbeth</t>
  </si>
  <si>
    <t>San Agustin Tolentino Norma</t>
  </si>
  <si>
    <t>Zareñaña Jaramillo Erika Paola</t>
  </si>
  <si>
    <t>Morante Lara Jose Maximiliano</t>
  </si>
  <si>
    <t>Cruz Sanchez Carlos Edgar</t>
  </si>
  <si>
    <t>Martinez Carrillo Elizabeth</t>
  </si>
  <si>
    <t>Guerrero Estrada Nora Yuridia</t>
  </si>
  <si>
    <t>Vilchis Quezada Andrea Ximena</t>
  </si>
  <si>
    <t>Juarez Soto Alberto Tonatiuh</t>
  </si>
  <si>
    <t>Del Angel Torres Sigfrido</t>
  </si>
  <si>
    <t>Castañeda Navarrete Elodia Margarita</t>
  </si>
  <si>
    <t>Guaida Secin Alejandra</t>
  </si>
  <si>
    <t>Aguilar Perez Lourdes</t>
  </si>
  <si>
    <t>Ortiz Reyes Bruno Alberto</t>
  </si>
  <si>
    <t>Romero Jimenez Judith</t>
  </si>
  <si>
    <t>Ibañez Flores Adrian</t>
  </si>
  <si>
    <t>Yañez Martinez Hector Hugo</t>
  </si>
  <si>
    <t>Francisco Rodriguez Maria Angelica</t>
  </si>
  <si>
    <t>Hernandez Martinez Francisco</t>
  </si>
  <si>
    <t>Martinez Latisnere Andrea</t>
  </si>
  <si>
    <t>Solis Rodriguez Lisbeth Hasive</t>
  </si>
  <si>
    <t>Hernandez Huerta Mitzy Amairani</t>
  </si>
  <si>
    <t>Garibay Parra Carlos Alberto</t>
  </si>
  <si>
    <t>Garcia Martinez Alan</t>
  </si>
  <si>
    <t>Quiroz Ramirez Alejandro</t>
  </si>
  <si>
    <t>Labbe Fernandez Jose Ignacio</t>
  </si>
  <si>
    <t>Romero Perez Ulises Miguel</t>
  </si>
  <si>
    <t>Segovia Palomino Jose Francisco</t>
  </si>
  <si>
    <t>Gomez Rojas Estela</t>
  </si>
  <si>
    <t>Almazan Trejo Erika Gabriela</t>
  </si>
  <si>
    <t>Sanchez Menchaca Jennifer</t>
  </si>
  <si>
    <t>Moya Martinez Hugo Alberto</t>
  </si>
  <si>
    <t>Rojas Ruiz Claudia Patricia</t>
  </si>
  <si>
    <t>Mendoza Davila Felipe Neri</t>
  </si>
  <si>
    <t>Brambila Flores Rosa Erica</t>
  </si>
  <si>
    <t>Lopez Rodriguez Joel</t>
  </si>
  <si>
    <t>Serrano Figueroa Jose Adolfo</t>
  </si>
  <si>
    <t>Foraneos</t>
  </si>
  <si>
    <t>Arriaga Contreras Juan Pablo</t>
  </si>
  <si>
    <t>De León Gómez Ricardo</t>
  </si>
  <si>
    <t>Del Río Del Río Juan Gabriel</t>
  </si>
  <si>
    <t>Domínguez Quiroz Roberto</t>
  </si>
  <si>
    <t>García Mendoza Valeria Janeth</t>
  </si>
  <si>
    <t>Hernández Reyes Juan Carlos</t>
  </si>
  <si>
    <t>Lizama Pérez Karla Michell</t>
  </si>
  <si>
    <t>López García Raul</t>
  </si>
  <si>
    <t>Luna Martínez Luis Miguel</t>
  </si>
  <si>
    <t>Gonzalez Chiapa Jorge Francisco</t>
  </si>
  <si>
    <t>Auditoría de Base / Cobertura por Archivo</t>
  </si>
  <si>
    <t>RAW</t>
  </si>
  <si>
    <t>Atendidos</t>
  </si>
  <si>
    <t>Inscritos_OK</t>
  </si>
  <si>
    <t>Cuestionario_OK</t>
  </si>
  <si>
    <t>Con_Labs</t>
  </si>
  <si>
    <t>DM_app</t>
  </si>
  <si>
    <t>HTA_app</t>
  </si>
  <si>
    <t>IMC_app</t>
  </si>
  <si>
    <t>Tabaq_app</t>
  </si>
  <si>
    <t>Disli_app</t>
  </si>
  <si>
    <t>Distribución Dislipidemia por fuente/regla</t>
  </si>
  <si>
    <t>N</t>
  </si>
  <si>
    <t>METODOLOGÍA CLÍNICA Y DEFINICIÓN DE UNIVERSOS</t>
  </si>
  <si>
    <t>1) Universos de datos (para evitar incongruencias)</t>
  </si>
  <si>
    <t>• Universo operativo (Atendidos): registros que aparecen en la base operativa / jornada, aunque puedan tener campos clínicos incompletos.
• Universo clínico (Muestra aplicable / screening completo): subconjunto de registros con los campos necesarios para el KPI o gráfica.
Regla clave: los KPIs y porcentajes del dashboard se calculan siempre sobre la Muestra aplicable del indicador, NO sobre el total operativo, para evitar sesgos.</t>
  </si>
  <si>
    <t>2) Elegibilidad del Riesgo CV (ASCVD)</t>
  </si>
  <si>
    <t>El score ASCVD a 10 años solo es clínicamente aplicable para ciertos rangos de edad y con biometría completa.
Por eso, al filtrar por edades jóvenes o registros sin biometría suficiente, la 'Muestra aplicable' puede disminuir.
En el dashboard, esto se refleja en el KPI de Muestra aplicable y en los porcentajes.</t>
  </si>
  <si>
    <t>3) Reglas de clasificación usadas en el dashboard</t>
  </si>
  <si>
    <t>• IMC: Normal / Sobrepeso / Obesidad (I, II, III) según la categoría reportada.
• Diabetes (DM): Normal / Prediabetes / Diabetes según la clasificación reportada.
• Hipertensión (HAS/HTA): se consideran casos de enfermedad únicamente Hipertensión G1 y G2.
  - Prehipertensión se muestra como hallazgo preventivo (si aplica en el dataset) y NO se suma como diagnóstico de enfermedad en KPI principal.
• Tabaquismo: Fumador actual = 'SI' (según respuesta de tabaquismo en base).</t>
  </si>
  <si>
    <t>4) Duplicados y consistencia (principalmente KIO)</t>
  </si>
  <si>
    <t>En KIO existen registros repetidos entre jornadas/hojas. Para no inflar cifras:
• Se conserva el universo RAW en las hojas de base.
• Para KPIs, cuando hay duplicados, se prioriza el registro con mayor completitud clínica (más campos no vacíos).
Esto evita que un mismo colaborador cuente dos veces en prevalencias.</t>
  </si>
  <si>
    <t>5) Recomendación de lectura para ejecutivos</t>
  </si>
  <si>
    <t>Cuando se usa un filtro (Sexo / Edad / Condición / Jornada), revisar primero:
• KPI 'Muestra aplicable' (denominador)
• KPI 'Casos' (numerador)
• KPI '% sobre muestra' (prevalencia)
Así se garantiza que las comparaciones siempre sean sobre el mismo universo del indicador.</t>
  </si>
  <si>
    <t>Fuente: DESGLOSE ACSVD.xlsx (consolidado) y/o base modelada del reporte. Este documento NO altera datos, solo describe la metodología y definiciones usadas.</t>
  </si>
  <si>
    <t>Reporte Operativo (KIO) - Inscripción / Cuestionario / Tomas / Pendientes</t>
  </si>
  <si>
    <t>Inscritos</t>
  </si>
  <si>
    <t>Cuestionarios</t>
  </si>
  <si>
    <t>Pendientes_Insc</t>
  </si>
  <si>
    <t>Pendientes_Cuest</t>
  </si>
  <si>
    <t>Diccionario Dislipidemia: origen de cálculo por fuente</t>
  </si>
  <si>
    <t>Reporte Vitalbit Ejecutivo Pro — ORIFLAME | 2026-01-08</t>
  </si>
  <si>
    <t>HALLAZGOS CLAVE:
• Dashboard interactivo con filtros por sexo, edad, condición, jornada y población (KIO).
• Prediabetes incluye GAA y glucosa 100–125 mg/dL; Diabetes ≥126 mg/dL o 'DM'.
• HTA y Pre-HTA se reportan por separado (no se mezclan).
• Sobrepeso y Obesidad se reportan por separado.
• Dislipidemia: se usa columna explícita si existe; si falta, regla &gt;200 (CT/J-O según disponibilidad).</t>
  </si>
  <si>
    <t>FILTROS (Interactivo)</t>
  </si>
  <si>
    <t>Todos</t>
  </si>
  <si>
    <t>Tip: cambia filtros y el dashboard se actualiza.</t>
  </si>
  <si>
    <t>Rango de Edad</t>
  </si>
  <si>
    <t>Condición</t>
  </si>
  <si>
    <t>Diabetes</t>
  </si>
  <si>
    <t>Jornada/Fuente</t>
  </si>
  <si>
    <t>Nota: Los KPIs y porcentajes se calculan exclusivamente sobre la 'Muestra aplicable' (registros con información clínica completa según el set de variables requerido por cada indicador).</t>
  </si>
  <si>
    <t>ⓘ BASE KPI</t>
  </si>
  <si>
    <t>RESUMEN (KPIs)</t>
  </si>
  <si>
    <t>Total RAW (registros)</t>
  </si>
  <si>
    <t>Muestra aplicable</t>
  </si>
  <si>
    <t>Casos (según condición)</t>
  </si>
  <si>
    <t>% sobre muestra</t>
  </si>
  <si>
    <t>Distribución Edad x Género (condición seleccionada)</t>
  </si>
  <si>
    <t>Rango Edad</t>
  </si>
  <si>
    <t>Femenino</t>
  </si>
  <si>
    <t>Masculino</t>
  </si>
  <si>
    <t>Total</t>
  </si>
  <si>
    <t>%</t>
  </si>
  <si>
    <t>Distribución IMC (según filtros)</t>
  </si>
  <si>
    <t>Categoría</t>
  </si>
  <si>
    <t>Normopeso</t>
  </si>
  <si>
    <t>Sobrepeso</t>
  </si>
  <si>
    <t>Obesidad</t>
  </si>
  <si>
    <t>Dislipidemia (según filtros)</t>
  </si>
  <si>
    <t>Estado</t>
  </si>
  <si>
    <t>Reporte Vitalbit Ejecutivo Pro — KIO | 2026-01-08</t>
  </si>
  <si>
    <t>Población (IT vs Data Centers)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</si>
</sst>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F5597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2F5597"/>
      <name val="Calibri"/>
      <family val="2"/>
    </font>
    <font>
      <b/>
      <sz val="14"/>
      <color rgb="FFFFFFFF"/>
      <name val="Calibri"/>
      <family val="2"/>
    </font>
    <font>
      <sz val="10"/>
      <name val="Calibri"/>
      <family val="2"/>
    </font>
    <font>
      <i/>
      <sz val="11"/>
      <color rgb="FF7F7F7F"/>
      <name val="Calibri"/>
      <family val="2"/>
    </font>
    <font>
      <b/>
      <sz val="10"/>
      <color rgb="FF595959"/>
      <name val="Calibri"/>
      <family val="2"/>
    </font>
    <font>
      <b/>
      <sz val="22"/>
      <color rgb="FF2F5597"/>
      <name val="Calibri"/>
      <family val="2"/>
    </font>
    <font>
      <i/>
      <sz val="9"/>
      <color rgb="FF595959"/>
      <name val="Calibri"/>
      <family val="2"/>
    </font>
    <font>
      <b/>
      <sz val="12"/>
      <color rgb="FF1F4E79"/>
      <name val="Calibri"/>
      <family val="2"/>
    </font>
    <font>
      <sz val="11"/>
      <color rgb="FF000000"/>
      <name val="Calibri"/>
      <family val="2"/>
    </font>
    <font>
      <b/>
      <sz val="10"/>
      <color rgb="FF7F6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8F9FB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1" fillId="0" borderId="0" xfId="0" applyFont="1" applyAlignment="1">
      <alignment vertical="top" wrapText="1"/>
    </xf>
    <xf numFmtId="0" fontId="12" fillId="5" borderId="9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6" borderId="12" xfId="0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0" fontId="5" fillId="2" borderId="0" xfId="0" applyFont="1" applyFill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horizontal="left"/>
    </xf>
    <xf numFmtId="0" fontId="6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0" fillId="4" borderId="9" xfId="0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Operativo por Jornada (KIO)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OPERATIVO!$K$3</c:f>
              <c:strCache>
                <c:ptCount val="1"/>
                <c:pt idx="0">
                  <c:v>Inscritos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OPERATIVO!$J$4:$J$9</c:f>
              <c:strCache>
                <c:ptCount val="6"/>
                <c:pt idx="1">
                  <c:v>2025-11-24</c:v>
                </c:pt>
                <c:pt idx="2">
                  <c:v>2025-11-25</c:v>
                </c:pt>
                <c:pt idx="3">
                  <c:v>2025-11-26</c:v>
                </c:pt>
                <c:pt idx="4">
                  <c:v>2025-11-27</c:v>
                </c:pt>
                <c:pt idx="5">
                  <c:v>2025-12-02</c:v>
                </c:pt>
              </c:strCache>
            </c:strRef>
          </c:cat>
          <c:val>
            <c:numRef>
              <c:f>OPERATIVO!$K$4:$K$9</c:f>
              <c:numCache>
                <c:formatCode>General</c:formatCode>
                <c:ptCount val="6"/>
                <c:pt idx="0">
                  <c:v>10</c:v>
                </c:pt>
                <c:pt idx="1">
                  <c:v>61</c:v>
                </c:pt>
                <c:pt idx="2">
                  <c:v>119</c:v>
                </c:pt>
                <c:pt idx="3">
                  <c:v>49</c:v>
                </c:pt>
                <c:pt idx="4">
                  <c:v>66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C-EC49-8F09-E1D4AAD20B93}"/>
            </c:ext>
          </c:extLst>
        </c:ser>
        <c:ser>
          <c:idx val="1"/>
          <c:order val="1"/>
          <c:tx>
            <c:strRef>
              <c:f>OPERATIVO!$L$3</c:f>
              <c:strCache>
                <c:ptCount val="1"/>
                <c:pt idx="0">
                  <c:v>Cuestionarios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OPERATIVO!$J$4:$J$9</c:f>
              <c:strCache>
                <c:ptCount val="6"/>
                <c:pt idx="1">
                  <c:v>2025-11-24</c:v>
                </c:pt>
                <c:pt idx="2">
                  <c:v>2025-11-25</c:v>
                </c:pt>
                <c:pt idx="3">
                  <c:v>2025-11-26</c:v>
                </c:pt>
                <c:pt idx="4">
                  <c:v>2025-11-27</c:v>
                </c:pt>
                <c:pt idx="5">
                  <c:v>2025-12-02</c:v>
                </c:pt>
              </c:strCache>
            </c:strRef>
          </c:cat>
          <c:val>
            <c:numRef>
              <c:f>OPERATIVO!$L$4:$L$9</c:f>
              <c:numCache>
                <c:formatCode>General</c:formatCode>
                <c:ptCount val="6"/>
                <c:pt idx="0">
                  <c:v>10</c:v>
                </c:pt>
                <c:pt idx="1">
                  <c:v>61</c:v>
                </c:pt>
                <c:pt idx="2">
                  <c:v>118</c:v>
                </c:pt>
                <c:pt idx="3">
                  <c:v>60</c:v>
                </c:pt>
                <c:pt idx="4">
                  <c:v>74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C-EC49-8F09-E1D4AAD20B93}"/>
            </c:ext>
          </c:extLst>
        </c:ser>
        <c:ser>
          <c:idx val="2"/>
          <c:order val="2"/>
          <c:tx>
            <c:strRef>
              <c:f>OPERATIVO!$M$3</c:f>
              <c:strCache>
                <c:ptCount val="1"/>
                <c:pt idx="0">
                  <c:v>Con_Labs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OPERATIVO!$J$4:$J$9</c:f>
              <c:strCache>
                <c:ptCount val="6"/>
                <c:pt idx="1">
                  <c:v>2025-11-24</c:v>
                </c:pt>
                <c:pt idx="2">
                  <c:v>2025-11-25</c:v>
                </c:pt>
                <c:pt idx="3">
                  <c:v>2025-11-26</c:v>
                </c:pt>
                <c:pt idx="4">
                  <c:v>2025-11-27</c:v>
                </c:pt>
                <c:pt idx="5">
                  <c:v>2025-12-02</c:v>
                </c:pt>
              </c:strCache>
            </c:strRef>
          </c:cat>
          <c:val>
            <c:numRef>
              <c:f>OPERATIVO!$M$4:$M$9</c:f>
              <c:numCache>
                <c:formatCode>General</c:formatCode>
                <c:ptCount val="6"/>
                <c:pt idx="0">
                  <c:v>10</c:v>
                </c:pt>
                <c:pt idx="1">
                  <c:v>62</c:v>
                </c:pt>
                <c:pt idx="2">
                  <c:v>119</c:v>
                </c:pt>
                <c:pt idx="3">
                  <c:v>62</c:v>
                </c:pt>
                <c:pt idx="4">
                  <c:v>80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C-EC49-8F09-E1D4AAD20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Personas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por edad y género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ORIFLAME!$B$21</c:f>
              <c:strCache>
                <c:ptCount val="1"/>
                <c:pt idx="0">
                  <c:v>Femenino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ORIFLAME!$A$22:$A$26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ORIFLAME!$B$22:$B$26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7-EB42-8444-BC41BA28D9CF}"/>
            </c:ext>
          </c:extLst>
        </c:ser>
        <c:ser>
          <c:idx val="1"/>
          <c:order val="1"/>
          <c:tx>
            <c:strRef>
              <c:f>ORIFLAME!$C$21</c:f>
              <c:strCache>
                <c:ptCount val="1"/>
                <c:pt idx="0">
                  <c:v>Masculino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ORIFLAME!$A$22:$A$26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ORIFLAME!$C$22:$C$26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7-EB42-8444-BC41BA28D9C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IMC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ORIFLAME!$B$29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ORIFLAME!$A$30:$A$32</c:f>
              <c:strCache>
                <c:ptCount val="3"/>
                <c:pt idx="0">
                  <c:v>Normopeso</c:v>
                </c:pt>
                <c:pt idx="1">
                  <c:v>Sobrepeso</c:v>
                </c:pt>
                <c:pt idx="2">
                  <c:v>Obesidad</c:v>
                </c:pt>
              </c:strCache>
            </c:strRef>
          </c:cat>
          <c:val>
            <c:numRef>
              <c:f>ORIFLAME!$B$30:$B$32</c:f>
              <c:numCache>
                <c:formatCode>General</c:formatCode>
                <c:ptCount val="3"/>
                <c:pt idx="0">
                  <c:v>10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A-844F-A96C-AC174864B86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Dislipidemia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ORIFLAME!$B$35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ORIFLAME!$A$36:$A$38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NA</c:v>
                </c:pt>
              </c:strCache>
            </c:strRef>
          </c:cat>
          <c:val>
            <c:numRef>
              <c:f>ORIFLAME!$B$36:$B$38</c:f>
              <c:numCache>
                <c:formatCode>General</c:formatCode>
                <c:ptCount val="3"/>
                <c:pt idx="0">
                  <c:v>12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5-C944-BF7C-850B86047FF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IMC (%)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ORIFLAME!$A$30:$A$32</c:f>
              <c:strCache>
                <c:ptCount val="3"/>
                <c:pt idx="0">
                  <c:v>Normopeso</c:v>
                </c:pt>
                <c:pt idx="1">
                  <c:v>Sobrepeso</c:v>
                </c:pt>
                <c:pt idx="2">
                  <c:v>Obesidad</c:v>
                </c:pt>
              </c:strCache>
            </c:strRef>
          </c:cat>
          <c:val>
            <c:numRef>
              <c:f>ORIFLAME!$C$30:$C$32</c:f>
              <c:numCache>
                <c:formatCode>0.0%</c:formatCode>
                <c:ptCount val="3"/>
                <c:pt idx="0">
                  <c:v>0.37037037037037035</c:v>
                </c:pt>
                <c:pt idx="1">
                  <c:v>0.48148148148148145</c:v>
                </c:pt>
                <c:pt idx="2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B-2041-BE1E-56FEEF19E69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Dislipidemia (%)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ORIFLAME!$A$36:$A$38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NA</c:v>
                </c:pt>
              </c:strCache>
            </c:strRef>
          </c:cat>
          <c:val>
            <c:numRef>
              <c:f>ORIFLAME!$C$36:$C$38</c:f>
              <c:numCache>
                <c:formatCode>0.0%</c:formatCode>
                <c:ptCount val="3"/>
                <c:pt idx="0">
                  <c:v>0.44444444444444442</c:v>
                </c:pt>
                <c:pt idx="1">
                  <c:v>0.55555555555555558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4-804C-897F-C2DF362FA48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por edad y género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KIO!$B$21</c:f>
              <c:strCache>
                <c:ptCount val="1"/>
                <c:pt idx="0">
                  <c:v>Femenino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KIO!$A$22:$A$26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KIO!$B$22:$B$26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A-B346-923A-53E9B06F7DAE}"/>
            </c:ext>
          </c:extLst>
        </c:ser>
        <c:ser>
          <c:idx val="1"/>
          <c:order val="1"/>
          <c:tx>
            <c:strRef>
              <c:f>KIO!$C$21</c:f>
              <c:strCache>
                <c:ptCount val="1"/>
                <c:pt idx="0">
                  <c:v>Masculino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KIO!$A$22:$A$26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KIO!$C$22:$C$26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A-B346-923A-53E9B06F7DA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IMC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KIO!$B$29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KIO!$A$30:$A$32</c:f>
              <c:strCache>
                <c:ptCount val="3"/>
                <c:pt idx="0">
                  <c:v>Normopeso</c:v>
                </c:pt>
                <c:pt idx="1">
                  <c:v>Sobrepeso</c:v>
                </c:pt>
                <c:pt idx="2">
                  <c:v>Obesidad</c:v>
                </c:pt>
              </c:strCache>
            </c:strRef>
          </c:cat>
          <c:val>
            <c:numRef>
              <c:f>KIO!$B$30:$B$32</c:f>
              <c:numCache>
                <c:formatCode>General</c:formatCode>
                <c:ptCount val="3"/>
                <c:pt idx="0">
                  <c:v>77</c:v>
                </c:pt>
                <c:pt idx="1">
                  <c:v>172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5-DB42-AD3F-4F4CF96EA2F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Dislipidemia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KIO!$B$35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KIO!$A$36:$A$38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NA</c:v>
                </c:pt>
              </c:strCache>
            </c:strRef>
          </c:cat>
          <c:val>
            <c:numRef>
              <c:f>KIO!$B$36:$B$38</c:f>
              <c:numCache>
                <c:formatCode>General</c:formatCode>
                <c:ptCount val="3"/>
                <c:pt idx="0">
                  <c:v>202</c:v>
                </c:pt>
                <c:pt idx="1">
                  <c:v>192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304A-AC81-21EE7BA8370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IMC (%)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KIO!$A$30:$A$32</c:f>
              <c:strCache>
                <c:ptCount val="3"/>
                <c:pt idx="0">
                  <c:v>Normopeso</c:v>
                </c:pt>
                <c:pt idx="1">
                  <c:v>Sobrepeso</c:v>
                </c:pt>
                <c:pt idx="2">
                  <c:v>Obesidad</c:v>
                </c:pt>
              </c:strCache>
            </c:strRef>
          </c:cat>
          <c:val>
            <c:numRef>
              <c:f>KIO!$C$30:$C$32</c:f>
              <c:numCache>
                <c:formatCode>0.0%</c:formatCode>
                <c:ptCount val="3"/>
                <c:pt idx="0">
                  <c:v>0.19896640826873385</c:v>
                </c:pt>
                <c:pt idx="1">
                  <c:v>0.44444444444444442</c:v>
                </c:pt>
                <c:pt idx="2">
                  <c:v>0.35658914728682173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6-0440-B46E-E62C4167838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Dislipidemia (%)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KIO!$A$36:$A$38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NA</c:v>
                </c:pt>
              </c:strCache>
            </c:strRef>
          </c:cat>
          <c:val>
            <c:numRef>
              <c:f>KIO!$C$36:$C$38</c:f>
              <c:numCache>
                <c:formatCode>0.0%</c:formatCode>
                <c:ptCount val="3"/>
                <c:pt idx="0">
                  <c:v>0.51269035532994922</c:v>
                </c:pt>
                <c:pt idx="1">
                  <c:v>0.48730964467005078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E-8548-86F2-9C74527B200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16</xdr:row>
      <xdr:rowOff>152400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26</xdr:row>
      <xdr:rowOff>165100</xdr:rowOff>
    </xdr:from>
    <xdr:ext cx="64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1320800</xdr:colOff>
      <xdr:row>16</xdr:row>
      <xdr:rowOff>50800</xdr:rowOff>
    </xdr:from>
    <xdr:ext cx="432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1181100</xdr:colOff>
      <xdr:row>41</xdr:row>
      <xdr:rowOff>0</xdr:rowOff>
    </xdr:from>
    <xdr:ext cx="432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1066800</xdr:colOff>
      <xdr:row>39</xdr:row>
      <xdr:rowOff>101600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342900</xdr:colOff>
      <xdr:row>39</xdr:row>
      <xdr:rowOff>76200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1282700</xdr:colOff>
      <xdr:row>15</xdr:row>
      <xdr:rowOff>25400</xdr:rowOff>
    </xdr:from>
    <xdr:ext cx="6985000" cy="2768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25400</xdr:colOff>
      <xdr:row>29</xdr:row>
      <xdr:rowOff>50800</xdr:rowOff>
    </xdr:from>
    <xdr:ext cx="432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952500</xdr:colOff>
      <xdr:row>29</xdr:row>
      <xdr:rowOff>50800</xdr:rowOff>
    </xdr:from>
    <xdr:ext cx="432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50800</xdr:colOff>
      <xdr:row>38</xdr:row>
      <xdr:rowOff>177800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42</xdr:row>
      <xdr:rowOff>165100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1" x14ac:dyDescent="0.25">
      <c r="A1" s="1" t="s">
        <v>0</v>
      </c>
    </row>
    <row r="3" spans="1:1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62"/>
  <sheetViews>
    <sheetView workbookViewId="0">
      <pane ySplit="1" topLeftCell="A109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8" customWidth="1"/>
    <col min="4" max="4" width="16" customWidth="1"/>
    <col min="5" max="6" width="32" customWidth="1"/>
    <col min="7" max="7" width="18" customWidth="1"/>
    <col min="8" max="9" width="16" customWidth="1"/>
    <col min="10" max="32" width="18" customWidth="1"/>
  </cols>
  <sheetData>
    <row r="1" spans="1:32" ht="16" x14ac:dyDescent="0.2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</row>
    <row r="2" spans="1:32" x14ac:dyDescent="0.2">
      <c r="A2" t="s">
        <v>45</v>
      </c>
      <c r="B2" t="s">
        <v>46</v>
      </c>
      <c r="D2" t="s">
        <v>45</v>
      </c>
      <c r="F2" t="s">
        <v>47</v>
      </c>
      <c r="G2">
        <v>32</v>
      </c>
      <c r="H2" t="s">
        <v>48</v>
      </c>
      <c r="I2" t="s">
        <v>49</v>
      </c>
      <c r="J2" t="s">
        <v>50</v>
      </c>
      <c r="K2">
        <v>0</v>
      </c>
      <c r="L2">
        <v>0</v>
      </c>
      <c r="M2">
        <v>1</v>
      </c>
      <c r="N2" t="s">
        <v>50</v>
      </c>
      <c r="O2">
        <v>0</v>
      </c>
      <c r="P2">
        <v>0</v>
      </c>
      <c r="Q2">
        <v>1</v>
      </c>
      <c r="R2" t="s">
        <v>51</v>
      </c>
      <c r="S2">
        <v>0</v>
      </c>
      <c r="T2">
        <v>0</v>
      </c>
      <c r="U2">
        <v>1</v>
      </c>
      <c r="V2" t="s">
        <v>52</v>
      </c>
      <c r="W2">
        <v>1</v>
      </c>
      <c r="X2">
        <v>1</v>
      </c>
      <c r="Y2" t="s">
        <v>53</v>
      </c>
      <c r="Z2">
        <v>0</v>
      </c>
      <c r="AA2">
        <v>1</v>
      </c>
      <c r="AB2" t="s">
        <v>54</v>
      </c>
      <c r="AE2">
        <v>0</v>
      </c>
      <c r="AF2">
        <v>1</v>
      </c>
    </row>
    <row r="3" spans="1:32" x14ac:dyDescent="0.2">
      <c r="A3" t="s">
        <v>45</v>
      </c>
      <c r="B3" t="s">
        <v>46</v>
      </c>
      <c r="D3" t="s">
        <v>45</v>
      </c>
      <c r="F3" t="s">
        <v>55</v>
      </c>
      <c r="G3">
        <v>30</v>
      </c>
      <c r="H3" t="s">
        <v>56</v>
      </c>
      <c r="I3" t="s">
        <v>49</v>
      </c>
      <c r="J3" t="s">
        <v>50</v>
      </c>
      <c r="K3">
        <v>0</v>
      </c>
      <c r="L3">
        <v>0</v>
      </c>
      <c r="M3">
        <v>1</v>
      </c>
      <c r="N3" t="s">
        <v>50</v>
      </c>
      <c r="O3">
        <v>0</v>
      </c>
      <c r="P3">
        <v>0</v>
      </c>
      <c r="Q3">
        <v>1</v>
      </c>
      <c r="R3" t="s">
        <v>51</v>
      </c>
      <c r="S3">
        <v>0</v>
      </c>
      <c r="T3">
        <v>0</v>
      </c>
      <c r="U3">
        <v>1</v>
      </c>
      <c r="V3" t="s">
        <v>53</v>
      </c>
      <c r="W3">
        <v>0</v>
      </c>
      <c r="X3">
        <v>1</v>
      </c>
      <c r="Y3" t="s">
        <v>53</v>
      </c>
      <c r="Z3">
        <v>0</v>
      </c>
      <c r="AA3">
        <v>1</v>
      </c>
      <c r="AB3" t="s">
        <v>54</v>
      </c>
      <c r="AE3">
        <v>0</v>
      </c>
      <c r="AF3">
        <v>1</v>
      </c>
    </row>
    <row r="4" spans="1:32" x14ac:dyDescent="0.2">
      <c r="A4" t="s">
        <v>45</v>
      </c>
      <c r="B4" t="s">
        <v>46</v>
      </c>
      <c r="D4" t="s">
        <v>45</v>
      </c>
      <c r="F4" t="s">
        <v>57</v>
      </c>
      <c r="G4">
        <v>31</v>
      </c>
      <c r="H4" t="s">
        <v>56</v>
      </c>
      <c r="I4" t="s">
        <v>49</v>
      </c>
      <c r="J4" t="s">
        <v>50</v>
      </c>
      <c r="K4">
        <v>0</v>
      </c>
      <c r="L4">
        <v>0</v>
      </c>
      <c r="M4">
        <v>1</v>
      </c>
      <c r="N4" t="s">
        <v>50</v>
      </c>
      <c r="O4">
        <v>0</v>
      </c>
      <c r="P4">
        <v>0</v>
      </c>
      <c r="Q4">
        <v>1</v>
      </c>
      <c r="R4" t="s">
        <v>51</v>
      </c>
      <c r="S4">
        <v>0</v>
      </c>
      <c r="T4">
        <v>0</v>
      </c>
      <c r="U4">
        <v>1</v>
      </c>
      <c r="V4" t="s">
        <v>53</v>
      </c>
      <c r="W4">
        <v>0</v>
      </c>
      <c r="X4">
        <v>1</v>
      </c>
      <c r="Y4" t="s">
        <v>52</v>
      </c>
      <c r="Z4">
        <v>1</v>
      </c>
      <c r="AA4">
        <v>1</v>
      </c>
      <c r="AB4" t="s">
        <v>54</v>
      </c>
      <c r="AE4">
        <v>0</v>
      </c>
      <c r="AF4">
        <v>1</v>
      </c>
    </row>
    <row r="5" spans="1:32" x14ac:dyDescent="0.2">
      <c r="A5" t="s">
        <v>45</v>
      </c>
      <c r="B5" t="s">
        <v>46</v>
      </c>
      <c r="D5" t="s">
        <v>45</v>
      </c>
      <c r="F5" t="s">
        <v>58</v>
      </c>
      <c r="G5">
        <v>33</v>
      </c>
      <c r="H5" t="s">
        <v>48</v>
      </c>
      <c r="I5" t="s">
        <v>49</v>
      </c>
      <c r="J5" t="s">
        <v>59</v>
      </c>
      <c r="K5">
        <v>1</v>
      </c>
      <c r="L5">
        <v>0</v>
      </c>
      <c r="M5">
        <v>1</v>
      </c>
      <c r="N5" t="s">
        <v>50</v>
      </c>
      <c r="O5">
        <v>0</v>
      </c>
      <c r="P5">
        <v>0</v>
      </c>
      <c r="Q5">
        <v>1</v>
      </c>
      <c r="R5" t="s">
        <v>60</v>
      </c>
      <c r="S5">
        <v>0</v>
      </c>
      <c r="T5">
        <v>1</v>
      </c>
      <c r="U5">
        <v>1</v>
      </c>
      <c r="V5" t="s">
        <v>53</v>
      </c>
      <c r="W5">
        <v>0</v>
      </c>
      <c r="X5">
        <v>1</v>
      </c>
      <c r="Y5" t="s">
        <v>53</v>
      </c>
      <c r="Z5">
        <v>0</v>
      </c>
      <c r="AA5">
        <v>1</v>
      </c>
      <c r="AB5" t="s">
        <v>54</v>
      </c>
      <c r="AE5">
        <v>0</v>
      </c>
      <c r="AF5">
        <v>1</v>
      </c>
    </row>
    <row r="6" spans="1:32" x14ac:dyDescent="0.2">
      <c r="A6" t="s">
        <v>45</v>
      </c>
      <c r="B6" t="s">
        <v>46</v>
      </c>
      <c r="D6" t="s">
        <v>45</v>
      </c>
      <c r="F6" t="s">
        <v>61</v>
      </c>
      <c r="G6">
        <v>26</v>
      </c>
      <c r="H6" t="s">
        <v>56</v>
      </c>
      <c r="I6" t="s">
        <v>49</v>
      </c>
      <c r="J6" t="s">
        <v>50</v>
      </c>
      <c r="K6">
        <v>0</v>
      </c>
      <c r="L6">
        <v>0</v>
      </c>
      <c r="M6">
        <v>1</v>
      </c>
      <c r="N6" t="s">
        <v>50</v>
      </c>
      <c r="O6">
        <v>0</v>
      </c>
      <c r="P6">
        <v>0</v>
      </c>
      <c r="Q6">
        <v>1</v>
      </c>
      <c r="R6" t="s">
        <v>62</v>
      </c>
      <c r="S6">
        <v>1</v>
      </c>
      <c r="T6">
        <v>0</v>
      </c>
      <c r="U6">
        <v>1</v>
      </c>
      <c r="V6" t="s">
        <v>53</v>
      </c>
      <c r="W6">
        <v>0</v>
      </c>
      <c r="X6">
        <v>1</v>
      </c>
      <c r="Y6" t="s">
        <v>52</v>
      </c>
      <c r="Z6">
        <v>1</v>
      </c>
      <c r="AA6">
        <v>1</v>
      </c>
      <c r="AB6" t="s">
        <v>54</v>
      </c>
      <c r="AE6">
        <v>0</v>
      </c>
      <c r="AF6">
        <v>1</v>
      </c>
    </row>
    <row r="7" spans="1:32" x14ac:dyDescent="0.2">
      <c r="A7" t="s">
        <v>45</v>
      </c>
      <c r="B7" t="s">
        <v>46</v>
      </c>
      <c r="D7" t="s">
        <v>45</v>
      </c>
      <c r="F7" t="s">
        <v>63</v>
      </c>
      <c r="G7">
        <v>45</v>
      </c>
      <c r="H7" t="s">
        <v>56</v>
      </c>
      <c r="I7" t="s">
        <v>64</v>
      </c>
      <c r="J7" t="s">
        <v>59</v>
      </c>
      <c r="K7">
        <v>1</v>
      </c>
      <c r="L7">
        <v>0</v>
      </c>
      <c r="M7">
        <v>1</v>
      </c>
      <c r="N7" t="s">
        <v>65</v>
      </c>
      <c r="O7">
        <v>0</v>
      </c>
      <c r="P7">
        <v>1</v>
      </c>
      <c r="Q7">
        <v>1</v>
      </c>
      <c r="R7" t="s">
        <v>62</v>
      </c>
      <c r="S7">
        <v>1</v>
      </c>
      <c r="T7">
        <v>0</v>
      </c>
      <c r="U7">
        <v>1</v>
      </c>
      <c r="V7" t="s">
        <v>53</v>
      </c>
      <c r="W7">
        <v>0</v>
      </c>
      <c r="X7">
        <v>1</v>
      </c>
      <c r="Y7" t="s">
        <v>52</v>
      </c>
      <c r="Z7">
        <v>1</v>
      </c>
      <c r="AA7">
        <v>1</v>
      </c>
      <c r="AB7" t="s">
        <v>54</v>
      </c>
      <c r="AE7">
        <v>0</v>
      </c>
      <c r="AF7">
        <v>1</v>
      </c>
    </row>
    <row r="8" spans="1:32" x14ac:dyDescent="0.2">
      <c r="A8" t="s">
        <v>45</v>
      </c>
      <c r="B8" t="s">
        <v>46</v>
      </c>
      <c r="D8" t="s">
        <v>45</v>
      </c>
      <c r="F8" t="s">
        <v>66</v>
      </c>
      <c r="G8">
        <v>25</v>
      </c>
      <c r="H8" t="s">
        <v>56</v>
      </c>
      <c r="I8" t="s">
        <v>67</v>
      </c>
      <c r="J8" t="s">
        <v>50</v>
      </c>
      <c r="K8">
        <v>0</v>
      </c>
      <c r="L8">
        <v>0</v>
      </c>
      <c r="M8">
        <v>1</v>
      </c>
      <c r="N8" t="s">
        <v>50</v>
      </c>
      <c r="O8">
        <v>0</v>
      </c>
      <c r="P8">
        <v>0</v>
      </c>
      <c r="Q8">
        <v>1</v>
      </c>
      <c r="R8" t="s">
        <v>62</v>
      </c>
      <c r="S8">
        <v>1</v>
      </c>
      <c r="T8">
        <v>0</v>
      </c>
      <c r="U8">
        <v>1</v>
      </c>
      <c r="V8" t="s">
        <v>53</v>
      </c>
      <c r="W8">
        <v>0</v>
      </c>
      <c r="X8">
        <v>1</v>
      </c>
      <c r="Y8" t="s">
        <v>53</v>
      </c>
      <c r="Z8">
        <v>0</v>
      </c>
      <c r="AA8">
        <v>1</v>
      </c>
      <c r="AB8" t="s">
        <v>54</v>
      </c>
      <c r="AE8">
        <v>0</v>
      </c>
      <c r="AF8">
        <v>1</v>
      </c>
    </row>
    <row r="9" spans="1:32" x14ac:dyDescent="0.2">
      <c r="A9" t="s">
        <v>45</v>
      </c>
      <c r="B9" t="s">
        <v>46</v>
      </c>
      <c r="D9" t="s">
        <v>45</v>
      </c>
      <c r="F9" t="s">
        <v>68</v>
      </c>
      <c r="G9">
        <v>45</v>
      </c>
      <c r="H9" t="s">
        <v>56</v>
      </c>
      <c r="I9" t="s">
        <v>64</v>
      </c>
      <c r="J9" t="s">
        <v>59</v>
      </c>
      <c r="K9">
        <v>1</v>
      </c>
      <c r="L9">
        <v>0</v>
      </c>
      <c r="M9">
        <v>1</v>
      </c>
      <c r="N9" t="s">
        <v>65</v>
      </c>
      <c r="O9">
        <v>0</v>
      </c>
      <c r="P9">
        <v>1</v>
      </c>
      <c r="Q9">
        <v>1</v>
      </c>
      <c r="R9" t="s">
        <v>51</v>
      </c>
      <c r="S9">
        <v>0</v>
      </c>
      <c r="T9">
        <v>0</v>
      </c>
      <c r="U9">
        <v>1</v>
      </c>
      <c r="V9" t="s">
        <v>53</v>
      </c>
      <c r="W9">
        <v>0</v>
      </c>
      <c r="X9">
        <v>1</v>
      </c>
      <c r="Y9" t="s">
        <v>52</v>
      </c>
      <c r="Z9">
        <v>1</v>
      </c>
      <c r="AA9">
        <v>1</v>
      </c>
      <c r="AB9" t="s">
        <v>54</v>
      </c>
      <c r="AE9">
        <v>0</v>
      </c>
      <c r="AF9">
        <v>1</v>
      </c>
    </row>
    <row r="10" spans="1:32" x14ac:dyDescent="0.2">
      <c r="A10" t="s">
        <v>45</v>
      </c>
      <c r="B10" t="s">
        <v>46</v>
      </c>
      <c r="D10" t="s">
        <v>45</v>
      </c>
      <c r="F10" t="s">
        <v>69</v>
      </c>
      <c r="G10">
        <v>52</v>
      </c>
      <c r="H10" t="s">
        <v>48</v>
      </c>
      <c r="I10" t="s">
        <v>70</v>
      </c>
      <c r="J10" t="s">
        <v>59</v>
      </c>
      <c r="K10">
        <v>1</v>
      </c>
      <c r="L10">
        <v>0</v>
      </c>
      <c r="M10">
        <v>1</v>
      </c>
      <c r="N10" t="s">
        <v>65</v>
      </c>
      <c r="O10">
        <v>0</v>
      </c>
      <c r="P10">
        <v>1</v>
      </c>
      <c r="Q10">
        <v>1</v>
      </c>
      <c r="R10" t="s">
        <v>62</v>
      </c>
      <c r="S10">
        <v>1</v>
      </c>
      <c r="T10">
        <v>0</v>
      </c>
      <c r="U10">
        <v>1</v>
      </c>
      <c r="V10" t="s">
        <v>52</v>
      </c>
      <c r="W10">
        <v>1</v>
      </c>
      <c r="X10">
        <v>1</v>
      </c>
      <c r="Y10" t="s">
        <v>52</v>
      </c>
      <c r="Z10">
        <v>1</v>
      </c>
      <c r="AA10">
        <v>1</v>
      </c>
      <c r="AB10" t="s">
        <v>54</v>
      </c>
      <c r="AE10">
        <v>0</v>
      </c>
      <c r="AF10">
        <v>1</v>
      </c>
    </row>
    <row r="11" spans="1:32" x14ac:dyDescent="0.2">
      <c r="A11" t="s">
        <v>45</v>
      </c>
      <c r="B11" t="s">
        <v>46</v>
      </c>
      <c r="D11" t="s">
        <v>45</v>
      </c>
      <c r="F11" t="s">
        <v>71</v>
      </c>
      <c r="G11">
        <v>31</v>
      </c>
      <c r="H11" t="s">
        <v>56</v>
      </c>
      <c r="I11" t="s">
        <v>49</v>
      </c>
      <c r="J11" t="s">
        <v>50</v>
      </c>
      <c r="K11">
        <v>0</v>
      </c>
      <c r="L11">
        <v>0</v>
      </c>
      <c r="M11">
        <v>1</v>
      </c>
      <c r="N11" t="s">
        <v>50</v>
      </c>
      <c r="O11">
        <v>0</v>
      </c>
      <c r="P11">
        <v>0</v>
      </c>
      <c r="Q11">
        <v>1</v>
      </c>
      <c r="R11" t="s">
        <v>51</v>
      </c>
      <c r="S11">
        <v>0</v>
      </c>
      <c r="T11">
        <v>0</v>
      </c>
      <c r="U11">
        <v>1</v>
      </c>
      <c r="V11" t="s">
        <v>53</v>
      </c>
      <c r="W11">
        <v>0</v>
      </c>
      <c r="X11">
        <v>1</v>
      </c>
      <c r="Y11" t="s">
        <v>53</v>
      </c>
      <c r="Z11">
        <v>0</v>
      </c>
      <c r="AA11">
        <v>1</v>
      </c>
      <c r="AB11" t="s">
        <v>54</v>
      </c>
      <c r="AE11">
        <v>0</v>
      </c>
      <c r="AF11">
        <v>1</v>
      </c>
    </row>
    <row r="12" spans="1:32" x14ac:dyDescent="0.2">
      <c r="A12" t="s">
        <v>45</v>
      </c>
      <c r="B12" t="s">
        <v>46</v>
      </c>
      <c r="D12" t="s">
        <v>45</v>
      </c>
      <c r="F12" t="s">
        <v>72</v>
      </c>
      <c r="G12">
        <v>28</v>
      </c>
      <c r="H12" t="s">
        <v>56</v>
      </c>
      <c r="I12" t="s">
        <v>49</v>
      </c>
      <c r="J12" t="s">
        <v>50</v>
      </c>
      <c r="K12">
        <v>0</v>
      </c>
      <c r="L12">
        <v>0</v>
      </c>
      <c r="M12">
        <v>1</v>
      </c>
      <c r="N12" t="s">
        <v>73</v>
      </c>
      <c r="O12">
        <v>1</v>
      </c>
      <c r="P12">
        <v>0</v>
      </c>
      <c r="Q12">
        <v>1</v>
      </c>
      <c r="R12" t="s">
        <v>51</v>
      </c>
      <c r="S12">
        <v>0</v>
      </c>
      <c r="T12">
        <v>0</v>
      </c>
      <c r="U12">
        <v>1</v>
      </c>
      <c r="V12" t="s">
        <v>52</v>
      </c>
      <c r="W12">
        <v>1</v>
      </c>
      <c r="X12">
        <v>1</v>
      </c>
      <c r="Y12" t="s">
        <v>53</v>
      </c>
      <c r="Z12">
        <v>0</v>
      </c>
      <c r="AA12">
        <v>1</v>
      </c>
      <c r="AB12" t="s">
        <v>54</v>
      </c>
      <c r="AE12">
        <v>0</v>
      </c>
      <c r="AF12">
        <v>1</v>
      </c>
    </row>
    <row r="13" spans="1:32" x14ac:dyDescent="0.2">
      <c r="A13" t="s">
        <v>45</v>
      </c>
      <c r="B13" t="s">
        <v>46</v>
      </c>
      <c r="D13" t="s">
        <v>45</v>
      </c>
      <c r="F13" t="s">
        <v>74</v>
      </c>
      <c r="G13">
        <v>37</v>
      </c>
      <c r="H13" t="s">
        <v>56</v>
      </c>
      <c r="I13" t="s">
        <v>64</v>
      </c>
      <c r="J13" t="s">
        <v>50</v>
      </c>
      <c r="K13">
        <v>0</v>
      </c>
      <c r="L13">
        <v>0</v>
      </c>
      <c r="M13">
        <v>1</v>
      </c>
      <c r="N13" t="s">
        <v>50</v>
      </c>
      <c r="O13">
        <v>0</v>
      </c>
      <c r="P13">
        <v>0</v>
      </c>
      <c r="Q13">
        <v>1</v>
      </c>
      <c r="R13" t="s">
        <v>51</v>
      </c>
      <c r="S13">
        <v>0</v>
      </c>
      <c r="T13">
        <v>0</v>
      </c>
      <c r="U13">
        <v>1</v>
      </c>
      <c r="V13" t="s">
        <v>52</v>
      </c>
      <c r="W13">
        <v>1</v>
      </c>
      <c r="X13">
        <v>1</v>
      </c>
      <c r="Y13" t="s">
        <v>52</v>
      </c>
      <c r="Z13">
        <v>1</v>
      </c>
      <c r="AA13">
        <v>1</v>
      </c>
      <c r="AB13" t="s">
        <v>54</v>
      </c>
      <c r="AE13">
        <v>0</v>
      </c>
      <c r="AF13">
        <v>1</v>
      </c>
    </row>
    <row r="14" spans="1:32" x14ac:dyDescent="0.2">
      <c r="A14" t="s">
        <v>45</v>
      </c>
      <c r="B14" t="s">
        <v>46</v>
      </c>
      <c r="D14" t="s">
        <v>45</v>
      </c>
      <c r="F14" t="s">
        <v>75</v>
      </c>
      <c r="G14">
        <v>39</v>
      </c>
      <c r="H14" t="s">
        <v>56</v>
      </c>
      <c r="I14" t="s">
        <v>64</v>
      </c>
      <c r="J14" t="s">
        <v>50</v>
      </c>
      <c r="K14">
        <v>0</v>
      </c>
      <c r="L14">
        <v>0</v>
      </c>
      <c r="M14">
        <v>1</v>
      </c>
      <c r="N14" t="s">
        <v>50</v>
      </c>
      <c r="O14">
        <v>0</v>
      </c>
      <c r="P14">
        <v>0</v>
      </c>
      <c r="Q14">
        <v>1</v>
      </c>
      <c r="R14" t="s">
        <v>62</v>
      </c>
      <c r="S14">
        <v>1</v>
      </c>
      <c r="T14">
        <v>0</v>
      </c>
      <c r="U14">
        <v>1</v>
      </c>
      <c r="V14" t="s">
        <v>53</v>
      </c>
      <c r="W14">
        <v>0</v>
      </c>
      <c r="X14">
        <v>1</v>
      </c>
      <c r="Y14" t="s">
        <v>52</v>
      </c>
      <c r="Z14">
        <v>1</v>
      </c>
      <c r="AA14">
        <v>1</v>
      </c>
      <c r="AB14" t="s">
        <v>54</v>
      </c>
      <c r="AE14">
        <v>0</v>
      </c>
      <c r="AF14">
        <v>1</v>
      </c>
    </row>
    <row r="15" spans="1:32" x14ac:dyDescent="0.2">
      <c r="A15" t="s">
        <v>45</v>
      </c>
      <c r="B15" t="s">
        <v>46</v>
      </c>
      <c r="D15" t="s">
        <v>45</v>
      </c>
      <c r="F15" t="s">
        <v>76</v>
      </c>
      <c r="G15">
        <v>48</v>
      </c>
      <c r="H15" t="s">
        <v>56</v>
      </c>
      <c r="I15" t="s">
        <v>70</v>
      </c>
      <c r="J15" t="s">
        <v>59</v>
      </c>
      <c r="K15">
        <v>1</v>
      </c>
      <c r="L15">
        <v>0</v>
      </c>
      <c r="M15">
        <v>1</v>
      </c>
      <c r="N15" t="s">
        <v>65</v>
      </c>
      <c r="O15">
        <v>0</v>
      </c>
      <c r="P15">
        <v>1</v>
      </c>
      <c r="Q15">
        <v>1</v>
      </c>
      <c r="R15" t="s">
        <v>60</v>
      </c>
      <c r="S15">
        <v>0</v>
      </c>
      <c r="T15">
        <v>1</v>
      </c>
      <c r="U15">
        <v>1</v>
      </c>
      <c r="V15" t="s">
        <v>53</v>
      </c>
      <c r="W15">
        <v>0</v>
      </c>
      <c r="X15">
        <v>1</v>
      </c>
      <c r="Y15" t="s">
        <v>53</v>
      </c>
      <c r="Z15">
        <v>0</v>
      </c>
      <c r="AA15">
        <v>1</v>
      </c>
      <c r="AB15" t="s">
        <v>54</v>
      </c>
      <c r="AE15">
        <v>0</v>
      </c>
      <c r="AF15">
        <v>1</v>
      </c>
    </row>
    <row r="16" spans="1:32" x14ac:dyDescent="0.2">
      <c r="A16" t="s">
        <v>45</v>
      </c>
      <c r="B16" t="s">
        <v>46</v>
      </c>
      <c r="D16" t="s">
        <v>45</v>
      </c>
      <c r="F16" t="s">
        <v>77</v>
      </c>
      <c r="G16">
        <v>37</v>
      </c>
      <c r="H16" t="s">
        <v>56</v>
      </c>
      <c r="I16" t="s">
        <v>64</v>
      </c>
      <c r="J16" t="s">
        <v>50</v>
      </c>
      <c r="K16">
        <v>0</v>
      </c>
      <c r="L16">
        <v>0</v>
      </c>
      <c r="M16">
        <v>1</v>
      </c>
      <c r="N16" t="s">
        <v>65</v>
      </c>
      <c r="O16">
        <v>0</v>
      </c>
      <c r="P16">
        <v>1</v>
      </c>
      <c r="Q16">
        <v>1</v>
      </c>
      <c r="R16" t="s">
        <v>62</v>
      </c>
      <c r="S16">
        <v>1</v>
      </c>
      <c r="T16">
        <v>0</v>
      </c>
      <c r="U16">
        <v>1</v>
      </c>
      <c r="V16" t="s">
        <v>53</v>
      </c>
      <c r="W16">
        <v>0</v>
      </c>
      <c r="X16">
        <v>1</v>
      </c>
      <c r="Y16" t="s">
        <v>53</v>
      </c>
      <c r="Z16">
        <v>0</v>
      </c>
      <c r="AA16">
        <v>1</v>
      </c>
      <c r="AB16" t="s">
        <v>54</v>
      </c>
      <c r="AE16">
        <v>0</v>
      </c>
      <c r="AF16">
        <v>1</v>
      </c>
    </row>
    <row r="17" spans="1:32" x14ac:dyDescent="0.2">
      <c r="A17" t="s">
        <v>45</v>
      </c>
      <c r="B17" t="s">
        <v>46</v>
      </c>
      <c r="D17" t="s">
        <v>45</v>
      </c>
      <c r="F17" t="s">
        <v>78</v>
      </c>
      <c r="G17">
        <v>29</v>
      </c>
      <c r="H17" t="s">
        <v>48</v>
      </c>
      <c r="I17" t="s">
        <v>49</v>
      </c>
      <c r="J17" t="s">
        <v>50</v>
      </c>
      <c r="K17">
        <v>0</v>
      </c>
      <c r="L17">
        <v>0</v>
      </c>
      <c r="M17">
        <v>1</v>
      </c>
      <c r="N17" t="s">
        <v>50</v>
      </c>
      <c r="O17">
        <v>0</v>
      </c>
      <c r="P17">
        <v>0</v>
      </c>
      <c r="Q17">
        <v>1</v>
      </c>
      <c r="R17" t="s">
        <v>51</v>
      </c>
      <c r="S17">
        <v>0</v>
      </c>
      <c r="T17">
        <v>0</v>
      </c>
      <c r="U17">
        <v>1</v>
      </c>
      <c r="V17" t="s">
        <v>52</v>
      </c>
      <c r="W17">
        <v>1</v>
      </c>
      <c r="X17">
        <v>1</v>
      </c>
      <c r="Y17" t="s">
        <v>53</v>
      </c>
      <c r="Z17">
        <v>0</v>
      </c>
      <c r="AA17">
        <v>1</v>
      </c>
      <c r="AB17" t="s">
        <v>54</v>
      </c>
      <c r="AE17">
        <v>0</v>
      </c>
      <c r="AF17">
        <v>1</v>
      </c>
    </row>
    <row r="18" spans="1:32" x14ac:dyDescent="0.2">
      <c r="A18" t="s">
        <v>45</v>
      </c>
      <c r="B18" t="s">
        <v>46</v>
      </c>
      <c r="D18" t="s">
        <v>45</v>
      </c>
      <c r="F18" t="s">
        <v>79</v>
      </c>
      <c r="G18">
        <v>46</v>
      </c>
      <c r="H18" t="s">
        <v>56</v>
      </c>
      <c r="I18" t="s">
        <v>70</v>
      </c>
      <c r="J18" t="s">
        <v>59</v>
      </c>
      <c r="K18">
        <v>1</v>
      </c>
      <c r="L18">
        <v>0</v>
      </c>
      <c r="M18">
        <v>1</v>
      </c>
      <c r="N18" t="s">
        <v>73</v>
      </c>
      <c r="O18">
        <v>1</v>
      </c>
      <c r="P18">
        <v>0</v>
      </c>
      <c r="Q18">
        <v>1</v>
      </c>
      <c r="R18" t="s">
        <v>62</v>
      </c>
      <c r="S18">
        <v>1</v>
      </c>
      <c r="T18">
        <v>0</v>
      </c>
      <c r="U18">
        <v>1</v>
      </c>
      <c r="V18" t="s">
        <v>53</v>
      </c>
      <c r="W18">
        <v>0</v>
      </c>
      <c r="X18">
        <v>1</v>
      </c>
      <c r="Y18" t="s">
        <v>53</v>
      </c>
      <c r="Z18">
        <v>0</v>
      </c>
      <c r="AA18">
        <v>1</v>
      </c>
      <c r="AB18" t="s">
        <v>54</v>
      </c>
      <c r="AE18">
        <v>0</v>
      </c>
      <c r="AF18">
        <v>1</v>
      </c>
    </row>
    <row r="19" spans="1:32" x14ac:dyDescent="0.2">
      <c r="A19" t="s">
        <v>45</v>
      </c>
      <c r="B19" t="s">
        <v>46</v>
      </c>
      <c r="D19" t="s">
        <v>45</v>
      </c>
      <c r="F19" t="s">
        <v>80</v>
      </c>
      <c r="G19">
        <v>34</v>
      </c>
      <c r="H19" t="s">
        <v>48</v>
      </c>
      <c r="I19" t="s">
        <v>49</v>
      </c>
      <c r="J19" t="s">
        <v>50</v>
      </c>
      <c r="K19">
        <v>0</v>
      </c>
      <c r="L19">
        <v>0</v>
      </c>
      <c r="M19">
        <v>1</v>
      </c>
      <c r="N19" t="s">
        <v>50</v>
      </c>
      <c r="O19">
        <v>0</v>
      </c>
      <c r="P19">
        <v>0</v>
      </c>
      <c r="Q19">
        <v>1</v>
      </c>
      <c r="R19" t="s">
        <v>51</v>
      </c>
      <c r="S19">
        <v>0</v>
      </c>
      <c r="T19">
        <v>0</v>
      </c>
      <c r="U19">
        <v>1</v>
      </c>
      <c r="V19" t="s">
        <v>52</v>
      </c>
      <c r="W19">
        <v>1</v>
      </c>
      <c r="X19">
        <v>1</v>
      </c>
      <c r="Y19" t="s">
        <v>52</v>
      </c>
      <c r="Z19">
        <v>1</v>
      </c>
      <c r="AA19">
        <v>1</v>
      </c>
      <c r="AB19" t="s">
        <v>54</v>
      </c>
      <c r="AE19">
        <v>0</v>
      </c>
      <c r="AF19">
        <v>1</v>
      </c>
    </row>
    <row r="20" spans="1:32" x14ac:dyDescent="0.2">
      <c r="A20" t="s">
        <v>45</v>
      </c>
      <c r="B20" t="s">
        <v>46</v>
      </c>
      <c r="D20" t="s">
        <v>45</v>
      </c>
      <c r="F20" t="s">
        <v>81</v>
      </c>
      <c r="G20">
        <v>34</v>
      </c>
      <c r="H20" t="s">
        <v>56</v>
      </c>
      <c r="I20" t="s">
        <v>49</v>
      </c>
      <c r="J20" t="s">
        <v>50</v>
      </c>
      <c r="K20">
        <v>0</v>
      </c>
      <c r="L20">
        <v>0</v>
      </c>
      <c r="M20">
        <v>1</v>
      </c>
      <c r="N20" t="s">
        <v>50</v>
      </c>
      <c r="O20">
        <v>0</v>
      </c>
      <c r="P20">
        <v>0</v>
      </c>
      <c r="Q20">
        <v>1</v>
      </c>
      <c r="R20" t="s">
        <v>51</v>
      </c>
      <c r="S20">
        <v>0</v>
      </c>
      <c r="T20">
        <v>0</v>
      </c>
      <c r="U20">
        <v>1</v>
      </c>
      <c r="V20" t="s">
        <v>53</v>
      </c>
      <c r="W20">
        <v>0</v>
      </c>
      <c r="X20">
        <v>1</v>
      </c>
      <c r="Y20" t="s">
        <v>53</v>
      </c>
      <c r="Z20">
        <v>0</v>
      </c>
      <c r="AA20">
        <v>1</v>
      </c>
      <c r="AB20" t="s">
        <v>54</v>
      </c>
      <c r="AE20">
        <v>0</v>
      </c>
      <c r="AF20">
        <v>1</v>
      </c>
    </row>
    <row r="21" spans="1:32" x14ac:dyDescent="0.2">
      <c r="A21" t="s">
        <v>45</v>
      </c>
      <c r="B21" t="s">
        <v>46</v>
      </c>
      <c r="D21" t="s">
        <v>45</v>
      </c>
      <c r="F21" t="s">
        <v>82</v>
      </c>
      <c r="G21">
        <v>30</v>
      </c>
      <c r="H21" t="s">
        <v>48</v>
      </c>
      <c r="I21" t="s">
        <v>49</v>
      </c>
      <c r="J21" t="s">
        <v>50</v>
      </c>
      <c r="K21">
        <v>0</v>
      </c>
      <c r="L21">
        <v>0</v>
      </c>
      <c r="M21">
        <v>1</v>
      </c>
      <c r="N21" t="s">
        <v>50</v>
      </c>
      <c r="O21">
        <v>0</v>
      </c>
      <c r="P21">
        <v>0</v>
      </c>
      <c r="Q21">
        <v>1</v>
      </c>
      <c r="R21" t="s">
        <v>62</v>
      </c>
      <c r="S21">
        <v>1</v>
      </c>
      <c r="T21">
        <v>0</v>
      </c>
      <c r="U21">
        <v>1</v>
      </c>
      <c r="V21" t="s">
        <v>52</v>
      </c>
      <c r="W21">
        <v>1</v>
      </c>
      <c r="X21">
        <v>1</v>
      </c>
      <c r="Y21" t="s">
        <v>52</v>
      </c>
      <c r="Z21">
        <v>1</v>
      </c>
      <c r="AA21">
        <v>1</v>
      </c>
      <c r="AB21" t="s">
        <v>54</v>
      </c>
      <c r="AE21">
        <v>0</v>
      </c>
      <c r="AF21">
        <v>1</v>
      </c>
    </row>
    <row r="22" spans="1:32" x14ac:dyDescent="0.2">
      <c r="A22" t="s">
        <v>45</v>
      </c>
      <c r="B22" t="s">
        <v>46</v>
      </c>
      <c r="D22" t="s">
        <v>45</v>
      </c>
      <c r="F22" t="s">
        <v>83</v>
      </c>
      <c r="G22">
        <v>33</v>
      </c>
      <c r="H22" t="s">
        <v>48</v>
      </c>
      <c r="I22" t="s">
        <v>49</v>
      </c>
      <c r="J22" t="s">
        <v>50</v>
      </c>
      <c r="K22">
        <v>0</v>
      </c>
      <c r="L22">
        <v>0</v>
      </c>
      <c r="M22">
        <v>1</v>
      </c>
      <c r="N22" t="s">
        <v>73</v>
      </c>
      <c r="O22">
        <v>1</v>
      </c>
      <c r="P22">
        <v>0</v>
      </c>
      <c r="Q22">
        <v>1</v>
      </c>
      <c r="R22" t="s">
        <v>62</v>
      </c>
      <c r="S22">
        <v>1</v>
      </c>
      <c r="T22">
        <v>0</v>
      </c>
      <c r="U22">
        <v>1</v>
      </c>
      <c r="V22" t="s">
        <v>53</v>
      </c>
      <c r="W22">
        <v>0</v>
      </c>
      <c r="X22">
        <v>1</v>
      </c>
      <c r="Y22" t="s">
        <v>53</v>
      </c>
      <c r="Z22">
        <v>0</v>
      </c>
      <c r="AA22">
        <v>1</v>
      </c>
      <c r="AB22" t="s">
        <v>54</v>
      </c>
      <c r="AE22">
        <v>0</v>
      </c>
      <c r="AF22">
        <v>1</v>
      </c>
    </row>
    <row r="23" spans="1:32" x14ac:dyDescent="0.2">
      <c r="A23" t="s">
        <v>45</v>
      </c>
      <c r="B23" t="s">
        <v>46</v>
      </c>
      <c r="D23" t="s">
        <v>45</v>
      </c>
      <c r="F23" t="s">
        <v>84</v>
      </c>
      <c r="G23">
        <v>60</v>
      </c>
      <c r="H23" t="s">
        <v>48</v>
      </c>
      <c r="I23" t="s">
        <v>85</v>
      </c>
      <c r="J23" t="s">
        <v>59</v>
      </c>
      <c r="K23">
        <v>1</v>
      </c>
      <c r="L23">
        <v>0</v>
      </c>
      <c r="M23">
        <v>1</v>
      </c>
      <c r="N23" t="s">
        <v>73</v>
      </c>
      <c r="O23">
        <v>1</v>
      </c>
      <c r="P23">
        <v>0</v>
      </c>
      <c r="Q23">
        <v>1</v>
      </c>
      <c r="R23" t="s">
        <v>62</v>
      </c>
      <c r="S23">
        <v>1</v>
      </c>
      <c r="T23">
        <v>0</v>
      </c>
      <c r="U23">
        <v>1</v>
      </c>
      <c r="V23" t="s">
        <v>53</v>
      </c>
      <c r="W23">
        <v>0</v>
      </c>
      <c r="X23">
        <v>1</v>
      </c>
      <c r="Y23" t="s">
        <v>52</v>
      </c>
      <c r="Z23">
        <v>1</v>
      </c>
      <c r="AA23">
        <v>1</v>
      </c>
      <c r="AB23" t="s">
        <v>54</v>
      </c>
      <c r="AE23">
        <v>0</v>
      </c>
      <c r="AF23">
        <v>1</v>
      </c>
    </row>
    <row r="24" spans="1:32" x14ac:dyDescent="0.2">
      <c r="A24" t="s">
        <v>45</v>
      </c>
      <c r="B24" t="s">
        <v>46</v>
      </c>
      <c r="D24" t="s">
        <v>45</v>
      </c>
      <c r="F24" t="s">
        <v>86</v>
      </c>
      <c r="G24">
        <v>42</v>
      </c>
      <c r="H24" t="s">
        <v>56</v>
      </c>
      <c r="I24" t="s">
        <v>64</v>
      </c>
      <c r="J24" t="s">
        <v>50</v>
      </c>
      <c r="K24">
        <v>0</v>
      </c>
      <c r="L24">
        <v>0</v>
      </c>
      <c r="M24">
        <v>1</v>
      </c>
      <c r="N24" t="s">
        <v>73</v>
      </c>
      <c r="O24">
        <v>1</v>
      </c>
      <c r="P24">
        <v>0</v>
      </c>
      <c r="Q24">
        <v>1</v>
      </c>
      <c r="R24" t="s">
        <v>60</v>
      </c>
      <c r="S24">
        <v>0</v>
      </c>
      <c r="T24">
        <v>1</v>
      </c>
      <c r="U24">
        <v>1</v>
      </c>
      <c r="V24" t="s">
        <v>53</v>
      </c>
      <c r="W24">
        <v>0</v>
      </c>
      <c r="X24">
        <v>1</v>
      </c>
      <c r="Y24" t="s">
        <v>53</v>
      </c>
      <c r="Z24">
        <v>0</v>
      </c>
      <c r="AA24">
        <v>1</v>
      </c>
      <c r="AB24" t="s">
        <v>54</v>
      </c>
      <c r="AE24">
        <v>0</v>
      </c>
      <c r="AF24">
        <v>1</v>
      </c>
    </row>
    <row r="25" spans="1:32" x14ac:dyDescent="0.2">
      <c r="A25" t="s">
        <v>45</v>
      </c>
      <c r="B25" t="s">
        <v>46</v>
      </c>
      <c r="D25" t="s">
        <v>45</v>
      </c>
      <c r="F25" t="s">
        <v>87</v>
      </c>
      <c r="G25">
        <v>55</v>
      </c>
      <c r="H25" t="s">
        <v>56</v>
      </c>
      <c r="I25" t="s">
        <v>70</v>
      </c>
      <c r="J25" t="s">
        <v>50</v>
      </c>
      <c r="K25">
        <v>0</v>
      </c>
      <c r="L25">
        <v>0</v>
      </c>
      <c r="M25">
        <v>1</v>
      </c>
      <c r="N25" t="s">
        <v>65</v>
      </c>
      <c r="O25">
        <v>0</v>
      </c>
      <c r="P25">
        <v>1</v>
      </c>
      <c r="Q25">
        <v>1</v>
      </c>
      <c r="R25" t="s">
        <v>62</v>
      </c>
      <c r="S25">
        <v>1</v>
      </c>
      <c r="T25">
        <v>0</v>
      </c>
      <c r="U25">
        <v>1</v>
      </c>
      <c r="V25" t="s">
        <v>52</v>
      </c>
      <c r="W25">
        <v>1</v>
      </c>
      <c r="X25">
        <v>1</v>
      </c>
      <c r="Y25" t="s">
        <v>52</v>
      </c>
      <c r="Z25">
        <v>1</v>
      </c>
      <c r="AA25">
        <v>1</v>
      </c>
      <c r="AB25" t="s">
        <v>54</v>
      </c>
      <c r="AE25">
        <v>0</v>
      </c>
      <c r="AF25">
        <v>1</v>
      </c>
    </row>
    <row r="26" spans="1:32" x14ac:dyDescent="0.2">
      <c r="A26" t="s">
        <v>45</v>
      </c>
      <c r="B26" t="s">
        <v>46</v>
      </c>
      <c r="D26" t="s">
        <v>45</v>
      </c>
      <c r="F26" t="s">
        <v>88</v>
      </c>
      <c r="G26">
        <v>37</v>
      </c>
      <c r="H26" t="s">
        <v>56</v>
      </c>
      <c r="I26" t="s">
        <v>64</v>
      </c>
      <c r="J26" t="s">
        <v>50</v>
      </c>
      <c r="K26">
        <v>0</v>
      </c>
      <c r="L26">
        <v>0</v>
      </c>
      <c r="M26">
        <v>1</v>
      </c>
      <c r="N26" t="s">
        <v>73</v>
      </c>
      <c r="O26">
        <v>1</v>
      </c>
      <c r="P26">
        <v>0</v>
      </c>
      <c r="Q26">
        <v>1</v>
      </c>
      <c r="R26" t="s">
        <v>60</v>
      </c>
      <c r="S26">
        <v>0</v>
      </c>
      <c r="T26">
        <v>1</v>
      </c>
      <c r="U26">
        <v>1</v>
      </c>
      <c r="V26" t="s">
        <v>53</v>
      </c>
      <c r="W26">
        <v>0</v>
      </c>
      <c r="X26">
        <v>1</v>
      </c>
      <c r="Y26" t="s">
        <v>53</v>
      </c>
      <c r="Z26">
        <v>0</v>
      </c>
      <c r="AA26">
        <v>1</v>
      </c>
      <c r="AB26" t="s">
        <v>54</v>
      </c>
      <c r="AE26">
        <v>0</v>
      </c>
      <c r="AF26">
        <v>1</v>
      </c>
    </row>
    <row r="27" spans="1:32" x14ac:dyDescent="0.2">
      <c r="A27" t="s">
        <v>45</v>
      </c>
      <c r="B27" t="s">
        <v>46</v>
      </c>
      <c r="D27" t="s">
        <v>45</v>
      </c>
      <c r="F27" t="s">
        <v>89</v>
      </c>
      <c r="G27">
        <v>37</v>
      </c>
      <c r="H27" t="s">
        <v>48</v>
      </c>
      <c r="I27" t="s">
        <v>64</v>
      </c>
      <c r="J27" t="s">
        <v>59</v>
      </c>
      <c r="K27">
        <v>1</v>
      </c>
      <c r="L27">
        <v>0</v>
      </c>
      <c r="M27">
        <v>1</v>
      </c>
      <c r="N27" t="s">
        <v>50</v>
      </c>
      <c r="O27">
        <v>0</v>
      </c>
      <c r="P27">
        <v>0</v>
      </c>
      <c r="Q27">
        <v>1</v>
      </c>
      <c r="R27" t="s">
        <v>62</v>
      </c>
      <c r="S27">
        <v>1</v>
      </c>
      <c r="T27">
        <v>0</v>
      </c>
      <c r="U27">
        <v>1</v>
      </c>
      <c r="V27" t="s">
        <v>53</v>
      </c>
      <c r="W27">
        <v>0</v>
      </c>
      <c r="X27">
        <v>1</v>
      </c>
      <c r="Y27" t="s">
        <v>53</v>
      </c>
      <c r="Z27">
        <v>0</v>
      </c>
      <c r="AA27">
        <v>1</v>
      </c>
      <c r="AB27" t="s">
        <v>54</v>
      </c>
      <c r="AE27">
        <v>0</v>
      </c>
      <c r="AF27">
        <v>1</v>
      </c>
    </row>
    <row r="28" spans="1:32" x14ac:dyDescent="0.2">
      <c r="A28" t="s">
        <v>45</v>
      </c>
      <c r="B28" t="s">
        <v>46</v>
      </c>
      <c r="D28" t="s">
        <v>45</v>
      </c>
      <c r="F28" t="s">
        <v>90</v>
      </c>
      <c r="G28">
        <v>44</v>
      </c>
      <c r="H28" t="s">
        <v>48</v>
      </c>
      <c r="I28" t="s">
        <v>64</v>
      </c>
      <c r="J28" t="s">
        <v>50</v>
      </c>
      <c r="K28">
        <v>0</v>
      </c>
      <c r="L28">
        <v>0</v>
      </c>
      <c r="M28">
        <v>1</v>
      </c>
      <c r="N28" t="s">
        <v>65</v>
      </c>
      <c r="O28">
        <v>0</v>
      </c>
      <c r="P28">
        <v>1</v>
      </c>
      <c r="Q28">
        <v>1</v>
      </c>
      <c r="R28" t="s">
        <v>62</v>
      </c>
      <c r="S28">
        <v>1</v>
      </c>
      <c r="T28">
        <v>0</v>
      </c>
      <c r="U28">
        <v>1</v>
      </c>
      <c r="V28" t="s">
        <v>53</v>
      </c>
      <c r="W28">
        <v>0</v>
      </c>
      <c r="X28">
        <v>1</v>
      </c>
      <c r="Y28" t="s">
        <v>52</v>
      </c>
      <c r="Z28">
        <v>1</v>
      </c>
      <c r="AA28">
        <v>1</v>
      </c>
      <c r="AB28" t="s">
        <v>54</v>
      </c>
      <c r="AE28">
        <v>0</v>
      </c>
      <c r="AF28">
        <v>1</v>
      </c>
    </row>
    <row r="29" spans="1:32" x14ac:dyDescent="0.2">
      <c r="A29" t="s">
        <v>45</v>
      </c>
      <c r="B29" t="s">
        <v>46</v>
      </c>
      <c r="D29" t="s">
        <v>45</v>
      </c>
      <c r="I29" t="s">
        <v>85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W29">
        <v>0</v>
      </c>
      <c r="X29">
        <v>0</v>
      </c>
      <c r="Y29" t="s">
        <v>91</v>
      </c>
      <c r="Z29">
        <v>0</v>
      </c>
      <c r="AA29">
        <v>0</v>
      </c>
      <c r="AB29" t="s">
        <v>91</v>
      </c>
      <c r="AE29">
        <v>0</v>
      </c>
      <c r="AF29">
        <v>0</v>
      </c>
    </row>
    <row r="30" spans="1:32" x14ac:dyDescent="0.2">
      <c r="A30" t="s">
        <v>45</v>
      </c>
      <c r="B30" t="s">
        <v>46</v>
      </c>
      <c r="D30" t="s">
        <v>45</v>
      </c>
      <c r="I30" t="s">
        <v>85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W30">
        <v>0</v>
      </c>
      <c r="X30">
        <v>0</v>
      </c>
      <c r="Y30" t="s">
        <v>91</v>
      </c>
      <c r="Z30">
        <v>0</v>
      </c>
      <c r="AA30">
        <v>0</v>
      </c>
      <c r="AB30" t="s">
        <v>91</v>
      </c>
      <c r="AE30">
        <v>0</v>
      </c>
      <c r="AF30">
        <v>0</v>
      </c>
    </row>
    <row r="31" spans="1:32" x14ac:dyDescent="0.2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>
        <v>39</v>
      </c>
      <c r="H31" t="s">
        <v>56</v>
      </c>
      <c r="I31" t="s">
        <v>64</v>
      </c>
      <c r="J31" t="s">
        <v>50</v>
      </c>
      <c r="K31">
        <v>0</v>
      </c>
      <c r="L31">
        <v>0</v>
      </c>
      <c r="M31">
        <v>1</v>
      </c>
      <c r="N31" t="s">
        <v>65</v>
      </c>
      <c r="O31">
        <v>0</v>
      </c>
      <c r="P31">
        <v>1</v>
      </c>
      <c r="Q31">
        <v>1</v>
      </c>
      <c r="R31" t="s">
        <v>60</v>
      </c>
      <c r="S31">
        <v>0</v>
      </c>
      <c r="T31">
        <v>1</v>
      </c>
      <c r="U31">
        <v>1</v>
      </c>
      <c r="V31" t="s">
        <v>53</v>
      </c>
      <c r="W31">
        <v>0</v>
      </c>
      <c r="X31">
        <v>1</v>
      </c>
      <c r="Y31" t="s">
        <v>53</v>
      </c>
      <c r="Z31">
        <v>0</v>
      </c>
      <c r="AA31">
        <v>1</v>
      </c>
      <c r="AB31" t="s">
        <v>54</v>
      </c>
      <c r="AC31" t="s">
        <v>98</v>
      </c>
      <c r="AD31" t="s">
        <v>98</v>
      </c>
      <c r="AE31">
        <v>1</v>
      </c>
      <c r="AF31">
        <v>1</v>
      </c>
    </row>
    <row r="32" spans="1:32" x14ac:dyDescent="0.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99</v>
      </c>
      <c r="G32">
        <v>59</v>
      </c>
      <c r="H32" t="s">
        <v>56</v>
      </c>
      <c r="I32" t="s">
        <v>85</v>
      </c>
      <c r="J32" t="s">
        <v>50</v>
      </c>
      <c r="K32">
        <v>0</v>
      </c>
      <c r="L32">
        <v>0</v>
      </c>
      <c r="M32">
        <v>1</v>
      </c>
      <c r="N32" t="s">
        <v>73</v>
      </c>
      <c r="O32">
        <v>1</v>
      </c>
      <c r="P32">
        <v>0</v>
      </c>
      <c r="Q32">
        <v>1</v>
      </c>
      <c r="R32" t="s">
        <v>60</v>
      </c>
      <c r="S32">
        <v>0</v>
      </c>
      <c r="T32">
        <v>1</v>
      </c>
      <c r="U32">
        <v>1</v>
      </c>
      <c r="V32" t="s">
        <v>53</v>
      </c>
      <c r="W32">
        <v>0</v>
      </c>
      <c r="X32">
        <v>1</v>
      </c>
      <c r="Y32" t="s">
        <v>52</v>
      </c>
      <c r="Z32">
        <v>1</v>
      </c>
      <c r="AA32">
        <v>1</v>
      </c>
      <c r="AB32" t="s">
        <v>54</v>
      </c>
      <c r="AC32" t="s">
        <v>98</v>
      </c>
      <c r="AD32" t="s">
        <v>98</v>
      </c>
      <c r="AE32">
        <v>1</v>
      </c>
      <c r="AF32">
        <v>1</v>
      </c>
    </row>
    <row r="33" spans="1:32" x14ac:dyDescent="0.2">
      <c r="A33" t="s">
        <v>92</v>
      </c>
      <c r="B33" t="s">
        <v>93</v>
      </c>
      <c r="C33" t="s">
        <v>94</v>
      </c>
      <c r="D33" t="s">
        <v>95</v>
      </c>
      <c r="E33" t="s">
        <v>96</v>
      </c>
      <c r="F33" t="s">
        <v>100</v>
      </c>
      <c r="G33">
        <v>41</v>
      </c>
      <c r="H33" t="s">
        <v>48</v>
      </c>
      <c r="I33" t="s">
        <v>64</v>
      </c>
      <c r="J33" t="s">
        <v>50</v>
      </c>
      <c r="K33">
        <v>0</v>
      </c>
      <c r="L33">
        <v>0</v>
      </c>
      <c r="M33">
        <v>1</v>
      </c>
      <c r="N33" t="s">
        <v>73</v>
      </c>
      <c r="O33">
        <v>1</v>
      </c>
      <c r="P33">
        <v>0</v>
      </c>
      <c r="Q33">
        <v>1</v>
      </c>
      <c r="R33" t="s">
        <v>62</v>
      </c>
      <c r="S33">
        <v>1</v>
      </c>
      <c r="T33">
        <v>0</v>
      </c>
      <c r="U33">
        <v>1</v>
      </c>
      <c r="V33" t="s">
        <v>53</v>
      </c>
      <c r="W33">
        <v>0</v>
      </c>
      <c r="X33">
        <v>1</v>
      </c>
      <c r="Y33" t="s">
        <v>52</v>
      </c>
      <c r="Z33">
        <v>1</v>
      </c>
      <c r="AA33">
        <v>1</v>
      </c>
      <c r="AB33" t="s">
        <v>54</v>
      </c>
      <c r="AC33" t="s">
        <v>98</v>
      </c>
      <c r="AD33" t="s">
        <v>98</v>
      </c>
      <c r="AE33">
        <v>1</v>
      </c>
      <c r="AF33">
        <v>1</v>
      </c>
    </row>
    <row r="34" spans="1:32" x14ac:dyDescent="0.2">
      <c r="A34" t="s">
        <v>92</v>
      </c>
      <c r="B34" t="s">
        <v>93</v>
      </c>
      <c r="C34" t="s">
        <v>94</v>
      </c>
      <c r="D34" t="s">
        <v>95</v>
      </c>
      <c r="E34" t="s">
        <v>96</v>
      </c>
      <c r="F34" t="s">
        <v>101</v>
      </c>
      <c r="G34">
        <v>40</v>
      </c>
      <c r="H34" t="s">
        <v>56</v>
      </c>
      <c r="I34" t="s">
        <v>64</v>
      </c>
      <c r="J34" t="s">
        <v>50</v>
      </c>
      <c r="K34">
        <v>0</v>
      </c>
      <c r="L34">
        <v>0</v>
      </c>
      <c r="M34">
        <v>1</v>
      </c>
      <c r="N34" t="s">
        <v>50</v>
      </c>
      <c r="O34">
        <v>0</v>
      </c>
      <c r="P34">
        <v>0</v>
      </c>
      <c r="Q34">
        <v>1</v>
      </c>
      <c r="R34" t="s">
        <v>51</v>
      </c>
      <c r="S34">
        <v>0</v>
      </c>
      <c r="T34">
        <v>0</v>
      </c>
      <c r="U34">
        <v>1</v>
      </c>
      <c r="V34" t="s">
        <v>53</v>
      </c>
      <c r="W34">
        <v>0</v>
      </c>
      <c r="X34">
        <v>1</v>
      </c>
      <c r="Y34" t="s">
        <v>53</v>
      </c>
      <c r="Z34">
        <v>0</v>
      </c>
      <c r="AA34">
        <v>1</v>
      </c>
      <c r="AB34" t="s">
        <v>54</v>
      </c>
      <c r="AC34" t="s">
        <v>98</v>
      </c>
      <c r="AD34" t="s">
        <v>98</v>
      </c>
      <c r="AE34">
        <v>1</v>
      </c>
      <c r="AF34">
        <v>1</v>
      </c>
    </row>
    <row r="35" spans="1:32" x14ac:dyDescent="0.2">
      <c r="A35" t="s">
        <v>92</v>
      </c>
      <c r="B35" t="s">
        <v>93</v>
      </c>
      <c r="C35" t="s">
        <v>94</v>
      </c>
      <c r="D35" t="s">
        <v>95</v>
      </c>
      <c r="E35" t="s">
        <v>96</v>
      </c>
      <c r="F35" t="s">
        <v>102</v>
      </c>
      <c r="G35">
        <v>53</v>
      </c>
      <c r="H35" t="s">
        <v>56</v>
      </c>
      <c r="I35" t="s">
        <v>70</v>
      </c>
      <c r="J35" t="s">
        <v>50</v>
      </c>
      <c r="K35">
        <v>0</v>
      </c>
      <c r="L35">
        <v>0</v>
      </c>
      <c r="M35">
        <v>1</v>
      </c>
      <c r="N35" t="s">
        <v>65</v>
      </c>
      <c r="O35">
        <v>0</v>
      </c>
      <c r="P35">
        <v>1</v>
      </c>
      <c r="Q35">
        <v>1</v>
      </c>
      <c r="R35" t="s">
        <v>51</v>
      </c>
      <c r="S35">
        <v>0</v>
      </c>
      <c r="T35">
        <v>0</v>
      </c>
      <c r="U35">
        <v>1</v>
      </c>
      <c r="V35" t="s">
        <v>53</v>
      </c>
      <c r="W35">
        <v>0</v>
      </c>
      <c r="X35">
        <v>1</v>
      </c>
      <c r="Y35" t="s">
        <v>53</v>
      </c>
      <c r="Z35">
        <v>0</v>
      </c>
      <c r="AA35">
        <v>1</v>
      </c>
      <c r="AB35" t="s">
        <v>54</v>
      </c>
      <c r="AC35" t="s">
        <v>98</v>
      </c>
      <c r="AD35" t="s">
        <v>98</v>
      </c>
      <c r="AE35">
        <v>1</v>
      </c>
      <c r="AF35">
        <v>1</v>
      </c>
    </row>
    <row r="36" spans="1:32" x14ac:dyDescent="0.2">
      <c r="A36" t="s">
        <v>92</v>
      </c>
      <c r="B36" t="s">
        <v>93</v>
      </c>
      <c r="C36" t="s">
        <v>94</v>
      </c>
      <c r="D36" t="s">
        <v>95</v>
      </c>
      <c r="E36" t="s">
        <v>96</v>
      </c>
      <c r="F36" t="s">
        <v>103</v>
      </c>
      <c r="G36">
        <v>54</v>
      </c>
      <c r="H36" t="s">
        <v>48</v>
      </c>
      <c r="I36" t="s">
        <v>70</v>
      </c>
      <c r="J36" t="s">
        <v>50</v>
      </c>
      <c r="K36">
        <v>0</v>
      </c>
      <c r="L36">
        <v>0</v>
      </c>
      <c r="M36">
        <v>1</v>
      </c>
      <c r="N36" t="s">
        <v>65</v>
      </c>
      <c r="O36">
        <v>0</v>
      </c>
      <c r="P36">
        <v>1</v>
      </c>
      <c r="Q36">
        <v>1</v>
      </c>
      <c r="R36" t="s">
        <v>60</v>
      </c>
      <c r="S36">
        <v>0</v>
      </c>
      <c r="T36">
        <v>1</v>
      </c>
      <c r="U36">
        <v>1</v>
      </c>
      <c r="V36" t="s">
        <v>53</v>
      </c>
      <c r="W36">
        <v>0</v>
      </c>
      <c r="X36">
        <v>1</v>
      </c>
      <c r="Y36" t="s">
        <v>52</v>
      </c>
      <c r="Z36">
        <v>1</v>
      </c>
      <c r="AA36">
        <v>1</v>
      </c>
      <c r="AB36" t="s">
        <v>54</v>
      </c>
      <c r="AC36" t="s">
        <v>98</v>
      </c>
      <c r="AD36" t="s">
        <v>98</v>
      </c>
      <c r="AE36">
        <v>1</v>
      </c>
      <c r="AF36">
        <v>1</v>
      </c>
    </row>
    <row r="37" spans="1:32" x14ac:dyDescent="0.2">
      <c r="A37" t="s">
        <v>92</v>
      </c>
      <c r="B37" t="s">
        <v>93</v>
      </c>
      <c r="C37" t="s">
        <v>94</v>
      </c>
      <c r="D37" t="s">
        <v>95</v>
      </c>
      <c r="E37" t="s">
        <v>96</v>
      </c>
      <c r="F37" t="s">
        <v>104</v>
      </c>
      <c r="G37">
        <v>44</v>
      </c>
      <c r="H37" t="s">
        <v>56</v>
      </c>
      <c r="I37" t="s">
        <v>64</v>
      </c>
      <c r="J37" t="s">
        <v>50</v>
      </c>
      <c r="K37">
        <v>0</v>
      </c>
      <c r="L37">
        <v>0</v>
      </c>
      <c r="M37">
        <v>1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 t="s">
        <v>53</v>
      </c>
      <c r="W37">
        <v>0</v>
      </c>
      <c r="X37">
        <v>1</v>
      </c>
      <c r="Y37" t="s">
        <v>52</v>
      </c>
      <c r="Z37">
        <v>1</v>
      </c>
      <c r="AA37">
        <v>1</v>
      </c>
      <c r="AB37" t="s">
        <v>54</v>
      </c>
      <c r="AC37" t="s">
        <v>98</v>
      </c>
      <c r="AD37" t="s">
        <v>98</v>
      </c>
      <c r="AE37">
        <v>1</v>
      </c>
      <c r="AF37">
        <v>1</v>
      </c>
    </row>
    <row r="38" spans="1:32" x14ac:dyDescent="0.2">
      <c r="A38" t="s">
        <v>92</v>
      </c>
      <c r="B38" t="s">
        <v>93</v>
      </c>
      <c r="C38" t="s">
        <v>94</v>
      </c>
      <c r="D38" t="s">
        <v>95</v>
      </c>
      <c r="E38" t="s">
        <v>96</v>
      </c>
      <c r="F38" t="s">
        <v>105</v>
      </c>
      <c r="G38">
        <v>50</v>
      </c>
      <c r="H38" t="s">
        <v>48</v>
      </c>
      <c r="I38" t="s">
        <v>70</v>
      </c>
      <c r="J38" t="s">
        <v>50</v>
      </c>
      <c r="K38">
        <v>0</v>
      </c>
      <c r="L38">
        <v>0</v>
      </c>
      <c r="M38">
        <v>1</v>
      </c>
      <c r="N38" t="s">
        <v>65</v>
      </c>
      <c r="O38">
        <v>0</v>
      </c>
      <c r="P38">
        <v>1</v>
      </c>
      <c r="Q38">
        <v>1</v>
      </c>
      <c r="R38" t="s">
        <v>62</v>
      </c>
      <c r="S38">
        <v>1</v>
      </c>
      <c r="T38">
        <v>0</v>
      </c>
      <c r="U38">
        <v>1</v>
      </c>
      <c r="V38" t="s">
        <v>53</v>
      </c>
      <c r="W38">
        <v>0</v>
      </c>
      <c r="X38">
        <v>1</v>
      </c>
      <c r="Y38" t="s">
        <v>52</v>
      </c>
      <c r="Z38">
        <v>1</v>
      </c>
      <c r="AA38">
        <v>1</v>
      </c>
      <c r="AB38" t="s">
        <v>54</v>
      </c>
      <c r="AC38" t="s">
        <v>98</v>
      </c>
      <c r="AD38" t="s">
        <v>98</v>
      </c>
      <c r="AE38">
        <v>1</v>
      </c>
      <c r="AF38">
        <v>1</v>
      </c>
    </row>
    <row r="39" spans="1:32" x14ac:dyDescent="0.2">
      <c r="A39" t="s">
        <v>92</v>
      </c>
      <c r="B39" t="s">
        <v>93</v>
      </c>
      <c r="C39" t="s">
        <v>94</v>
      </c>
      <c r="D39" t="s">
        <v>95</v>
      </c>
      <c r="E39" t="s">
        <v>96</v>
      </c>
      <c r="F39" t="s">
        <v>106</v>
      </c>
      <c r="G39">
        <v>60</v>
      </c>
      <c r="H39" t="s">
        <v>56</v>
      </c>
      <c r="I39" t="s">
        <v>85</v>
      </c>
      <c r="J39" t="s">
        <v>50</v>
      </c>
      <c r="K39">
        <v>0</v>
      </c>
      <c r="L39">
        <v>0</v>
      </c>
      <c r="M39">
        <v>1</v>
      </c>
      <c r="N39" t="s">
        <v>73</v>
      </c>
      <c r="O39">
        <v>1</v>
      </c>
      <c r="P39">
        <v>0</v>
      </c>
      <c r="Q39">
        <v>1</v>
      </c>
      <c r="R39" t="s">
        <v>62</v>
      </c>
      <c r="S39">
        <v>1</v>
      </c>
      <c r="T39">
        <v>0</v>
      </c>
      <c r="U39">
        <v>1</v>
      </c>
      <c r="V39" t="s">
        <v>52</v>
      </c>
      <c r="W39">
        <v>1</v>
      </c>
      <c r="X39">
        <v>1</v>
      </c>
      <c r="Y39" t="s">
        <v>52</v>
      </c>
      <c r="Z39">
        <v>1</v>
      </c>
      <c r="AA39">
        <v>1</v>
      </c>
      <c r="AB39" t="s">
        <v>54</v>
      </c>
      <c r="AC39" t="s">
        <v>98</v>
      </c>
      <c r="AD39" t="s">
        <v>98</v>
      </c>
      <c r="AE39">
        <v>1</v>
      </c>
      <c r="AF39">
        <v>1</v>
      </c>
    </row>
    <row r="40" spans="1:32" x14ac:dyDescent="0.2">
      <c r="A40" t="s">
        <v>92</v>
      </c>
      <c r="B40" t="s">
        <v>93</v>
      </c>
      <c r="C40" t="s">
        <v>94</v>
      </c>
      <c r="D40" t="s">
        <v>95</v>
      </c>
      <c r="E40" t="s">
        <v>96</v>
      </c>
      <c r="F40" t="s">
        <v>107</v>
      </c>
      <c r="G40">
        <v>47</v>
      </c>
      <c r="H40" t="s">
        <v>48</v>
      </c>
      <c r="I40" t="s">
        <v>70</v>
      </c>
      <c r="J40" t="s">
        <v>50</v>
      </c>
      <c r="K40">
        <v>0</v>
      </c>
      <c r="L40">
        <v>0</v>
      </c>
      <c r="M40">
        <v>1</v>
      </c>
      <c r="N40" t="s">
        <v>65</v>
      </c>
      <c r="O40">
        <v>0</v>
      </c>
      <c r="P40">
        <v>1</v>
      </c>
      <c r="Q40">
        <v>1</v>
      </c>
      <c r="R40" t="s">
        <v>62</v>
      </c>
      <c r="S40">
        <v>1</v>
      </c>
      <c r="T40">
        <v>0</v>
      </c>
      <c r="U40">
        <v>1</v>
      </c>
      <c r="V40" t="s">
        <v>52</v>
      </c>
      <c r="W40">
        <v>1</v>
      </c>
      <c r="X40">
        <v>1</v>
      </c>
      <c r="Y40" t="s">
        <v>53</v>
      </c>
      <c r="Z40">
        <v>0</v>
      </c>
      <c r="AA40">
        <v>1</v>
      </c>
      <c r="AB40" t="s">
        <v>54</v>
      </c>
      <c r="AC40" t="s">
        <v>98</v>
      </c>
      <c r="AD40" t="s">
        <v>98</v>
      </c>
      <c r="AE40">
        <v>1</v>
      </c>
      <c r="AF40">
        <v>1</v>
      </c>
    </row>
    <row r="41" spans="1:32" x14ac:dyDescent="0.2">
      <c r="A41" t="s">
        <v>92</v>
      </c>
      <c r="B41" t="s">
        <v>93</v>
      </c>
      <c r="C41" t="s">
        <v>94</v>
      </c>
      <c r="D41" t="s">
        <v>95</v>
      </c>
      <c r="E41" t="s">
        <v>96</v>
      </c>
      <c r="F41" t="s">
        <v>108</v>
      </c>
      <c r="G41">
        <v>40</v>
      </c>
      <c r="H41" t="s">
        <v>48</v>
      </c>
      <c r="I41" t="s">
        <v>64</v>
      </c>
      <c r="J41" t="s">
        <v>50</v>
      </c>
      <c r="K41">
        <v>0</v>
      </c>
      <c r="L41">
        <v>0</v>
      </c>
      <c r="M41">
        <v>1</v>
      </c>
      <c r="N41" t="s">
        <v>65</v>
      </c>
      <c r="O41">
        <v>0</v>
      </c>
      <c r="P41">
        <v>1</v>
      </c>
      <c r="Q41">
        <v>1</v>
      </c>
      <c r="R41" t="s">
        <v>62</v>
      </c>
      <c r="S41">
        <v>1</v>
      </c>
      <c r="T41">
        <v>0</v>
      </c>
      <c r="U41">
        <v>1</v>
      </c>
      <c r="V41" t="s">
        <v>53</v>
      </c>
      <c r="W41">
        <v>0</v>
      </c>
      <c r="X41">
        <v>1</v>
      </c>
      <c r="Y41" t="s">
        <v>52</v>
      </c>
      <c r="Z41">
        <v>1</v>
      </c>
      <c r="AA41">
        <v>1</v>
      </c>
      <c r="AB41" t="s">
        <v>54</v>
      </c>
      <c r="AC41" t="s">
        <v>98</v>
      </c>
      <c r="AD41" t="s">
        <v>98</v>
      </c>
      <c r="AE41">
        <v>1</v>
      </c>
      <c r="AF41">
        <v>1</v>
      </c>
    </row>
    <row r="42" spans="1:32" x14ac:dyDescent="0.2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109</v>
      </c>
      <c r="G42">
        <v>46</v>
      </c>
      <c r="H42" t="s">
        <v>48</v>
      </c>
      <c r="I42" t="s">
        <v>70</v>
      </c>
      <c r="J42" t="s">
        <v>50</v>
      </c>
      <c r="K42">
        <v>0</v>
      </c>
      <c r="L42">
        <v>0</v>
      </c>
      <c r="M42">
        <v>1</v>
      </c>
      <c r="N42" t="s">
        <v>65</v>
      </c>
      <c r="O42">
        <v>0</v>
      </c>
      <c r="P42">
        <v>1</v>
      </c>
      <c r="Q42">
        <v>1</v>
      </c>
      <c r="R42" t="s">
        <v>60</v>
      </c>
      <c r="S42">
        <v>0</v>
      </c>
      <c r="T42">
        <v>1</v>
      </c>
      <c r="U42">
        <v>1</v>
      </c>
      <c r="V42" t="s">
        <v>53</v>
      </c>
      <c r="W42">
        <v>0</v>
      </c>
      <c r="X42">
        <v>1</v>
      </c>
      <c r="Y42" t="s">
        <v>52</v>
      </c>
      <c r="Z42">
        <v>1</v>
      </c>
      <c r="AA42">
        <v>1</v>
      </c>
      <c r="AB42" t="s">
        <v>54</v>
      </c>
      <c r="AC42" t="s">
        <v>98</v>
      </c>
      <c r="AD42" t="s">
        <v>98</v>
      </c>
      <c r="AE42">
        <v>1</v>
      </c>
      <c r="AF42">
        <v>1</v>
      </c>
    </row>
    <row r="43" spans="1:32" x14ac:dyDescent="0.2">
      <c r="A43" t="s">
        <v>92</v>
      </c>
      <c r="B43" t="s">
        <v>93</v>
      </c>
      <c r="C43" t="s">
        <v>94</v>
      </c>
      <c r="D43" t="s">
        <v>95</v>
      </c>
      <c r="E43" t="s">
        <v>96</v>
      </c>
      <c r="F43" t="s">
        <v>110</v>
      </c>
      <c r="G43">
        <v>46</v>
      </c>
      <c r="H43" t="s">
        <v>48</v>
      </c>
      <c r="I43" t="s">
        <v>70</v>
      </c>
      <c r="J43" t="s">
        <v>50</v>
      </c>
      <c r="K43">
        <v>0</v>
      </c>
      <c r="L43">
        <v>0</v>
      </c>
      <c r="M43">
        <v>1</v>
      </c>
      <c r="N43" t="s">
        <v>65</v>
      </c>
      <c r="O43">
        <v>0</v>
      </c>
      <c r="P43">
        <v>1</v>
      </c>
      <c r="Q43">
        <v>1</v>
      </c>
      <c r="R43" t="s">
        <v>51</v>
      </c>
      <c r="S43">
        <v>0</v>
      </c>
      <c r="T43">
        <v>0</v>
      </c>
      <c r="U43">
        <v>1</v>
      </c>
      <c r="V43" t="s">
        <v>53</v>
      </c>
      <c r="W43">
        <v>0</v>
      </c>
      <c r="X43">
        <v>1</v>
      </c>
      <c r="Y43" t="s">
        <v>52</v>
      </c>
      <c r="Z43">
        <v>1</v>
      </c>
      <c r="AA43">
        <v>1</v>
      </c>
      <c r="AB43" t="s">
        <v>54</v>
      </c>
      <c r="AC43" t="s">
        <v>98</v>
      </c>
      <c r="AD43" t="s">
        <v>98</v>
      </c>
      <c r="AE43">
        <v>1</v>
      </c>
      <c r="AF43">
        <v>1</v>
      </c>
    </row>
    <row r="44" spans="1:32" x14ac:dyDescent="0.2">
      <c r="A44" t="s">
        <v>92</v>
      </c>
      <c r="B44" t="s">
        <v>93</v>
      </c>
      <c r="C44" t="s">
        <v>94</v>
      </c>
      <c r="D44" t="s">
        <v>95</v>
      </c>
      <c r="E44" t="s">
        <v>96</v>
      </c>
      <c r="F44" t="s">
        <v>111</v>
      </c>
      <c r="G44">
        <v>39</v>
      </c>
      <c r="H44" t="s">
        <v>48</v>
      </c>
      <c r="I44" t="s">
        <v>64</v>
      </c>
      <c r="J44" t="s">
        <v>50</v>
      </c>
      <c r="K44">
        <v>0</v>
      </c>
      <c r="L44">
        <v>0</v>
      </c>
      <c r="M44">
        <v>1</v>
      </c>
      <c r="N44" t="s">
        <v>50</v>
      </c>
      <c r="O44">
        <v>0</v>
      </c>
      <c r="P44">
        <v>0</v>
      </c>
      <c r="Q44">
        <v>1</v>
      </c>
      <c r="R44" t="s">
        <v>60</v>
      </c>
      <c r="S44">
        <v>0</v>
      </c>
      <c r="T44">
        <v>1</v>
      </c>
      <c r="U44">
        <v>1</v>
      </c>
      <c r="V44" t="s">
        <v>53</v>
      </c>
      <c r="W44">
        <v>0</v>
      </c>
      <c r="X44">
        <v>1</v>
      </c>
      <c r="Y44" t="s">
        <v>53</v>
      </c>
      <c r="Z44">
        <v>0</v>
      </c>
      <c r="AA44">
        <v>1</v>
      </c>
      <c r="AB44" t="s">
        <v>54</v>
      </c>
      <c r="AC44" t="s">
        <v>98</v>
      </c>
      <c r="AD44" t="s">
        <v>98</v>
      </c>
      <c r="AE44">
        <v>1</v>
      </c>
      <c r="AF44">
        <v>1</v>
      </c>
    </row>
    <row r="45" spans="1:32" x14ac:dyDescent="0.2">
      <c r="A45" t="s">
        <v>92</v>
      </c>
      <c r="B45" t="s">
        <v>93</v>
      </c>
      <c r="C45" t="s">
        <v>94</v>
      </c>
      <c r="D45" t="s">
        <v>112</v>
      </c>
      <c r="E45" t="s">
        <v>113</v>
      </c>
      <c r="F45" t="s">
        <v>114</v>
      </c>
      <c r="G45">
        <v>43</v>
      </c>
      <c r="H45" t="s">
        <v>48</v>
      </c>
      <c r="I45" t="s">
        <v>64</v>
      </c>
      <c r="J45" t="s">
        <v>50</v>
      </c>
      <c r="K45">
        <v>0</v>
      </c>
      <c r="L45">
        <v>0</v>
      </c>
      <c r="M45">
        <v>1</v>
      </c>
      <c r="N45" t="s">
        <v>65</v>
      </c>
      <c r="O45">
        <v>0</v>
      </c>
      <c r="P45">
        <v>1</v>
      </c>
      <c r="Q45">
        <v>1</v>
      </c>
      <c r="R45" t="s">
        <v>60</v>
      </c>
      <c r="S45">
        <v>0</v>
      </c>
      <c r="T45">
        <v>1</v>
      </c>
      <c r="U45">
        <v>1</v>
      </c>
      <c r="V45" t="s">
        <v>52</v>
      </c>
      <c r="W45">
        <v>1</v>
      </c>
      <c r="X45">
        <v>1</v>
      </c>
      <c r="Y45" t="s">
        <v>52</v>
      </c>
      <c r="Z45">
        <v>1</v>
      </c>
      <c r="AA45">
        <v>1</v>
      </c>
      <c r="AB45" t="s">
        <v>54</v>
      </c>
      <c r="AC45" t="s">
        <v>98</v>
      </c>
      <c r="AD45" t="s">
        <v>98</v>
      </c>
      <c r="AE45">
        <v>1</v>
      </c>
      <c r="AF45">
        <v>1</v>
      </c>
    </row>
    <row r="46" spans="1:32" x14ac:dyDescent="0.2">
      <c r="A46" t="s">
        <v>92</v>
      </c>
      <c r="B46" t="s">
        <v>93</v>
      </c>
      <c r="C46" t="s">
        <v>94</v>
      </c>
      <c r="D46" t="s">
        <v>95</v>
      </c>
      <c r="E46" t="s">
        <v>96</v>
      </c>
      <c r="F46" t="s">
        <v>115</v>
      </c>
      <c r="G46">
        <v>48</v>
      </c>
      <c r="H46" t="s">
        <v>56</v>
      </c>
      <c r="I46" t="s">
        <v>70</v>
      </c>
      <c r="J46" t="s">
        <v>50</v>
      </c>
      <c r="K46">
        <v>0</v>
      </c>
      <c r="L46">
        <v>0</v>
      </c>
      <c r="M46">
        <v>1</v>
      </c>
      <c r="N46" t="s">
        <v>65</v>
      </c>
      <c r="O46">
        <v>0</v>
      </c>
      <c r="P46">
        <v>1</v>
      </c>
      <c r="Q46">
        <v>1</v>
      </c>
      <c r="R46" t="s">
        <v>60</v>
      </c>
      <c r="S46">
        <v>0</v>
      </c>
      <c r="T46">
        <v>1</v>
      </c>
      <c r="U46">
        <v>1</v>
      </c>
      <c r="V46" t="s">
        <v>53</v>
      </c>
      <c r="W46">
        <v>0</v>
      </c>
      <c r="X46">
        <v>1</v>
      </c>
      <c r="Y46" t="s">
        <v>52</v>
      </c>
      <c r="Z46">
        <v>1</v>
      </c>
      <c r="AA46">
        <v>1</v>
      </c>
      <c r="AB46" t="s">
        <v>54</v>
      </c>
      <c r="AC46" t="s">
        <v>98</v>
      </c>
      <c r="AD46" t="s">
        <v>98</v>
      </c>
      <c r="AE46">
        <v>1</v>
      </c>
      <c r="AF46">
        <v>1</v>
      </c>
    </row>
    <row r="47" spans="1:32" x14ac:dyDescent="0.2">
      <c r="A47" t="s">
        <v>92</v>
      </c>
      <c r="B47" t="s">
        <v>93</v>
      </c>
      <c r="C47" t="s">
        <v>94</v>
      </c>
      <c r="D47" t="s">
        <v>95</v>
      </c>
      <c r="E47" t="s">
        <v>96</v>
      </c>
      <c r="F47" t="s">
        <v>116</v>
      </c>
      <c r="G47">
        <v>43</v>
      </c>
      <c r="H47" t="s">
        <v>48</v>
      </c>
      <c r="I47" t="s">
        <v>64</v>
      </c>
      <c r="J47" t="s">
        <v>50</v>
      </c>
      <c r="K47">
        <v>0</v>
      </c>
      <c r="L47">
        <v>0</v>
      </c>
      <c r="M47">
        <v>1</v>
      </c>
      <c r="N47" t="s">
        <v>65</v>
      </c>
      <c r="O47">
        <v>0</v>
      </c>
      <c r="P47">
        <v>1</v>
      </c>
      <c r="Q47">
        <v>1</v>
      </c>
      <c r="R47" t="s">
        <v>60</v>
      </c>
      <c r="S47">
        <v>0</v>
      </c>
      <c r="T47">
        <v>1</v>
      </c>
      <c r="U47">
        <v>1</v>
      </c>
      <c r="V47" t="s">
        <v>53</v>
      </c>
      <c r="W47">
        <v>0</v>
      </c>
      <c r="X47">
        <v>1</v>
      </c>
      <c r="Y47" t="s">
        <v>53</v>
      </c>
      <c r="Z47">
        <v>0</v>
      </c>
      <c r="AA47">
        <v>1</v>
      </c>
      <c r="AB47" t="s">
        <v>54</v>
      </c>
      <c r="AC47" t="s">
        <v>98</v>
      </c>
      <c r="AD47" t="s">
        <v>98</v>
      </c>
      <c r="AE47">
        <v>1</v>
      </c>
      <c r="AF47">
        <v>1</v>
      </c>
    </row>
    <row r="48" spans="1:32" x14ac:dyDescent="0.2">
      <c r="A48" t="s">
        <v>92</v>
      </c>
      <c r="B48" t="s">
        <v>93</v>
      </c>
      <c r="C48" t="s">
        <v>94</v>
      </c>
      <c r="D48" t="s">
        <v>95</v>
      </c>
      <c r="E48" t="s">
        <v>96</v>
      </c>
      <c r="F48" t="s">
        <v>117</v>
      </c>
      <c r="G48">
        <v>32</v>
      </c>
      <c r="H48" t="s">
        <v>56</v>
      </c>
      <c r="I48" t="s">
        <v>49</v>
      </c>
      <c r="J48" t="s">
        <v>50</v>
      </c>
      <c r="K48">
        <v>0</v>
      </c>
      <c r="L48">
        <v>0</v>
      </c>
      <c r="M48">
        <v>1</v>
      </c>
      <c r="N48" t="s">
        <v>65</v>
      </c>
      <c r="O48">
        <v>0</v>
      </c>
      <c r="P48">
        <v>1</v>
      </c>
      <c r="Q48">
        <v>1</v>
      </c>
      <c r="R48" t="s">
        <v>62</v>
      </c>
      <c r="S48">
        <v>1</v>
      </c>
      <c r="T48">
        <v>0</v>
      </c>
      <c r="U48">
        <v>1</v>
      </c>
      <c r="V48" t="s">
        <v>52</v>
      </c>
      <c r="W48">
        <v>1</v>
      </c>
      <c r="X48">
        <v>1</v>
      </c>
      <c r="Y48" t="s">
        <v>53</v>
      </c>
      <c r="Z48">
        <v>0</v>
      </c>
      <c r="AA48">
        <v>1</v>
      </c>
      <c r="AB48" t="s">
        <v>54</v>
      </c>
      <c r="AC48" t="s">
        <v>98</v>
      </c>
      <c r="AD48" t="s">
        <v>98</v>
      </c>
      <c r="AE48">
        <v>1</v>
      </c>
      <c r="AF48">
        <v>1</v>
      </c>
    </row>
    <row r="49" spans="1:32" x14ac:dyDescent="0.2">
      <c r="A49" t="s">
        <v>92</v>
      </c>
      <c r="B49" t="s">
        <v>93</v>
      </c>
      <c r="C49" t="s">
        <v>94</v>
      </c>
      <c r="D49" t="s">
        <v>95</v>
      </c>
      <c r="E49" t="s">
        <v>96</v>
      </c>
      <c r="F49" t="s">
        <v>118</v>
      </c>
      <c r="G49">
        <v>34</v>
      </c>
      <c r="H49" t="s">
        <v>56</v>
      </c>
      <c r="I49" t="s">
        <v>49</v>
      </c>
      <c r="J49" t="s">
        <v>50</v>
      </c>
      <c r="K49">
        <v>0</v>
      </c>
      <c r="L49">
        <v>0</v>
      </c>
      <c r="M49">
        <v>1</v>
      </c>
      <c r="N49" t="s">
        <v>50</v>
      </c>
      <c r="O49">
        <v>0</v>
      </c>
      <c r="P49">
        <v>0</v>
      </c>
      <c r="Q49">
        <v>1</v>
      </c>
      <c r="R49" t="s">
        <v>51</v>
      </c>
      <c r="S49">
        <v>0</v>
      </c>
      <c r="T49">
        <v>0</v>
      </c>
      <c r="U49">
        <v>1</v>
      </c>
      <c r="V49" t="s">
        <v>52</v>
      </c>
      <c r="W49">
        <v>1</v>
      </c>
      <c r="X49">
        <v>1</v>
      </c>
      <c r="Y49" t="s">
        <v>52</v>
      </c>
      <c r="Z49">
        <v>1</v>
      </c>
      <c r="AA49">
        <v>1</v>
      </c>
      <c r="AB49" t="s">
        <v>54</v>
      </c>
      <c r="AC49" t="s">
        <v>98</v>
      </c>
      <c r="AD49" t="s">
        <v>98</v>
      </c>
      <c r="AE49">
        <v>1</v>
      </c>
      <c r="AF49">
        <v>1</v>
      </c>
    </row>
    <row r="50" spans="1:32" x14ac:dyDescent="0.2">
      <c r="A50" t="s">
        <v>92</v>
      </c>
      <c r="B50" t="s">
        <v>93</v>
      </c>
      <c r="C50" t="s">
        <v>94</v>
      </c>
      <c r="D50" t="s">
        <v>95</v>
      </c>
      <c r="E50" t="s">
        <v>96</v>
      </c>
      <c r="F50" t="s">
        <v>119</v>
      </c>
      <c r="G50">
        <v>41</v>
      </c>
      <c r="H50" t="s">
        <v>56</v>
      </c>
      <c r="I50" t="s">
        <v>64</v>
      </c>
      <c r="J50" t="s">
        <v>50</v>
      </c>
      <c r="K50">
        <v>0</v>
      </c>
      <c r="L50">
        <v>0</v>
      </c>
      <c r="M50">
        <v>1</v>
      </c>
      <c r="N50" t="s">
        <v>65</v>
      </c>
      <c r="O50">
        <v>0</v>
      </c>
      <c r="P50">
        <v>1</v>
      </c>
      <c r="Q50">
        <v>1</v>
      </c>
      <c r="R50" t="s">
        <v>51</v>
      </c>
      <c r="S50">
        <v>0</v>
      </c>
      <c r="T50">
        <v>0</v>
      </c>
      <c r="U50">
        <v>1</v>
      </c>
      <c r="V50" t="s">
        <v>53</v>
      </c>
      <c r="W50">
        <v>0</v>
      </c>
      <c r="X50">
        <v>1</v>
      </c>
      <c r="Y50" t="s">
        <v>53</v>
      </c>
      <c r="Z50">
        <v>0</v>
      </c>
      <c r="AA50">
        <v>1</v>
      </c>
      <c r="AB50" t="s">
        <v>54</v>
      </c>
      <c r="AC50" t="s">
        <v>98</v>
      </c>
      <c r="AD50" t="s">
        <v>98</v>
      </c>
      <c r="AE50">
        <v>1</v>
      </c>
      <c r="AF50">
        <v>1</v>
      </c>
    </row>
    <row r="51" spans="1:32" x14ac:dyDescent="0.2">
      <c r="A51" t="s">
        <v>92</v>
      </c>
      <c r="B51" t="s">
        <v>93</v>
      </c>
      <c r="C51" t="s">
        <v>94</v>
      </c>
      <c r="D51" t="s">
        <v>95</v>
      </c>
      <c r="E51" t="s">
        <v>96</v>
      </c>
      <c r="F51" t="s">
        <v>120</v>
      </c>
      <c r="G51">
        <v>38</v>
      </c>
      <c r="H51" t="s">
        <v>56</v>
      </c>
      <c r="I51" t="s">
        <v>64</v>
      </c>
      <c r="J51" t="s">
        <v>50</v>
      </c>
      <c r="K51">
        <v>0</v>
      </c>
      <c r="L51">
        <v>0</v>
      </c>
      <c r="M51">
        <v>1</v>
      </c>
      <c r="N51" t="s">
        <v>73</v>
      </c>
      <c r="O51">
        <v>1</v>
      </c>
      <c r="P51">
        <v>0</v>
      </c>
      <c r="Q51">
        <v>1</v>
      </c>
      <c r="R51" t="s">
        <v>51</v>
      </c>
      <c r="S51">
        <v>0</v>
      </c>
      <c r="T51">
        <v>0</v>
      </c>
      <c r="U51">
        <v>1</v>
      </c>
      <c r="V51" t="s">
        <v>53</v>
      </c>
      <c r="W51">
        <v>0</v>
      </c>
      <c r="X51">
        <v>1</v>
      </c>
      <c r="Y51" t="s">
        <v>53</v>
      </c>
      <c r="Z51">
        <v>0</v>
      </c>
      <c r="AA51">
        <v>1</v>
      </c>
      <c r="AB51" t="s">
        <v>54</v>
      </c>
      <c r="AC51" t="s">
        <v>98</v>
      </c>
      <c r="AD51" t="s">
        <v>98</v>
      </c>
      <c r="AE51">
        <v>1</v>
      </c>
      <c r="AF51">
        <v>1</v>
      </c>
    </row>
    <row r="52" spans="1:32" x14ac:dyDescent="0.2">
      <c r="A52" t="s">
        <v>92</v>
      </c>
      <c r="B52" t="s">
        <v>93</v>
      </c>
      <c r="C52" t="s">
        <v>94</v>
      </c>
      <c r="D52" t="s">
        <v>95</v>
      </c>
      <c r="E52" t="s">
        <v>96</v>
      </c>
      <c r="F52" t="s">
        <v>121</v>
      </c>
      <c r="G52">
        <v>47</v>
      </c>
      <c r="H52" t="s">
        <v>48</v>
      </c>
      <c r="I52" t="s">
        <v>70</v>
      </c>
      <c r="J52" t="s">
        <v>50</v>
      </c>
      <c r="K52">
        <v>0</v>
      </c>
      <c r="L52">
        <v>0</v>
      </c>
      <c r="M52">
        <v>1</v>
      </c>
      <c r="N52" t="s">
        <v>73</v>
      </c>
      <c r="O52">
        <v>1</v>
      </c>
      <c r="P52">
        <v>0</v>
      </c>
      <c r="Q52">
        <v>1</v>
      </c>
      <c r="R52" t="s">
        <v>60</v>
      </c>
      <c r="S52">
        <v>0</v>
      </c>
      <c r="T52">
        <v>1</v>
      </c>
      <c r="U52">
        <v>1</v>
      </c>
      <c r="V52" t="s">
        <v>53</v>
      </c>
      <c r="W52">
        <v>0</v>
      </c>
      <c r="X52">
        <v>1</v>
      </c>
      <c r="Y52" t="s">
        <v>52</v>
      </c>
      <c r="Z52">
        <v>1</v>
      </c>
      <c r="AA52">
        <v>1</v>
      </c>
      <c r="AB52" t="s">
        <v>54</v>
      </c>
      <c r="AC52" t="s">
        <v>98</v>
      </c>
      <c r="AD52" t="s">
        <v>98</v>
      </c>
      <c r="AE52">
        <v>1</v>
      </c>
      <c r="AF52">
        <v>1</v>
      </c>
    </row>
    <row r="53" spans="1:32" x14ac:dyDescent="0.2">
      <c r="A53" t="s">
        <v>92</v>
      </c>
      <c r="B53" t="s">
        <v>93</v>
      </c>
      <c r="C53" t="s">
        <v>94</v>
      </c>
      <c r="D53" t="s">
        <v>95</v>
      </c>
      <c r="E53" t="s">
        <v>96</v>
      </c>
      <c r="F53" t="s">
        <v>122</v>
      </c>
      <c r="G53">
        <v>41</v>
      </c>
      <c r="H53" t="s">
        <v>48</v>
      </c>
      <c r="I53" t="s">
        <v>64</v>
      </c>
      <c r="J53" t="s">
        <v>50</v>
      </c>
      <c r="K53">
        <v>0</v>
      </c>
      <c r="L53">
        <v>0</v>
      </c>
      <c r="M53">
        <v>1</v>
      </c>
      <c r="N53" t="s">
        <v>73</v>
      </c>
      <c r="O53">
        <v>1</v>
      </c>
      <c r="P53">
        <v>0</v>
      </c>
      <c r="Q53">
        <v>1</v>
      </c>
      <c r="R53" t="s">
        <v>60</v>
      </c>
      <c r="S53">
        <v>0</v>
      </c>
      <c r="T53">
        <v>1</v>
      </c>
      <c r="U53">
        <v>1</v>
      </c>
      <c r="V53" t="s">
        <v>52</v>
      </c>
      <c r="W53">
        <v>1</v>
      </c>
      <c r="X53">
        <v>1</v>
      </c>
      <c r="Y53" t="s">
        <v>52</v>
      </c>
      <c r="Z53">
        <v>1</v>
      </c>
      <c r="AA53">
        <v>1</v>
      </c>
      <c r="AB53" t="s">
        <v>54</v>
      </c>
      <c r="AC53" t="s">
        <v>98</v>
      </c>
      <c r="AD53" t="s">
        <v>98</v>
      </c>
      <c r="AE53">
        <v>1</v>
      </c>
      <c r="AF53">
        <v>1</v>
      </c>
    </row>
    <row r="54" spans="1:32" x14ac:dyDescent="0.2">
      <c r="A54" t="s">
        <v>92</v>
      </c>
      <c r="B54" t="s">
        <v>93</v>
      </c>
      <c r="C54" t="s">
        <v>94</v>
      </c>
      <c r="D54" t="s">
        <v>95</v>
      </c>
      <c r="E54" t="s">
        <v>96</v>
      </c>
      <c r="F54" t="s">
        <v>123</v>
      </c>
      <c r="G54">
        <v>35</v>
      </c>
      <c r="H54" t="s">
        <v>48</v>
      </c>
      <c r="I54" t="s">
        <v>49</v>
      </c>
      <c r="J54" t="s">
        <v>50</v>
      </c>
      <c r="K54">
        <v>0</v>
      </c>
      <c r="L54">
        <v>0</v>
      </c>
      <c r="M54">
        <v>1</v>
      </c>
      <c r="N54" t="s">
        <v>65</v>
      </c>
      <c r="O54">
        <v>0</v>
      </c>
      <c r="P54">
        <v>1</v>
      </c>
      <c r="Q54">
        <v>1</v>
      </c>
      <c r="R54" t="s">
        <v>60</v>
      </c>
      <c r="S54">
        <v>0</v>
      </c>
      <c r="T54">
        <v>1</v>
      </c>
      <c r="U54">
        <v>1</v>
      </c>
      <c r="V54" t="s">
        <v>52</v>
      </c>
      <c r="W54">
        <v>1</v>
      </c>
      <c r="X54">
        <v>1</v>
      </c>
      <c r="Y54" t="s">
        <v>53</v>
      </c>
      <c r="Z54">
        <v>0</v>
      </c>
      <c r="AA54">
        <v>1</v>
      </c>
      <c r="AB54" t="s">
        <v>54</v>
      </c>
      <c r="AC54" t="s">
        <v>98</v>
      </c>
      <c r="AD54" t="s">
        <v>98</v>
      </c>
      <c r="AE54">
        <v>1</v>
      </c>
      <c r="AF54">
        <v>1</v>
      </c>
    </row>
    <row r="55" spans="1:32" x14ac:dyDescent="0.2">
      <c r="A55" t="s">
        <v>92</v>
      </c>
      <c r="B55" t="s">
        <v>93</v>
      </c>
      <c r="C55" t="s">
        <v>94</v>
      </c>
      <c r="D55" t="s">
        <v>95</v>
      </c>
      <c r="E55" t="s">
        <v>96</v>
      </c>
      <c r="F55" t="s">
        <v>124</v>
      </c>
      <c r="G55">
        <v>53</v>
      </c>
      <c r="H55" t="s">
        <v>56</v>
      </c>
      <c r="I55" t="s">
        <v>70</v>
      </c>
      <c r="J55" t="s">
        <v>50</v>
      </c>
      <c r="K55">
        <v>0</v>
      </c>
      <c r="L55">
        <v>0</v>
      </c>
      <c r="M55">
        <v>1</v>
      </c>
      <c r="N55" t="s">
        <v>65</v>
      </c>
      <c r="O55">
        <v>0</v>
      </c>
      <c r="P55">
        <v>1</v>
      </c>
      <c r="Q55">
        <v>1</v>
      </c>
      <c r="R55" t="s">
        <v>60</v>
      </c>
      <c r="S55">
        <v>0</v>
      </c>
      <c r="T55">
        <v>1</v>
      </c>
      <c r="U55">
        <v>1</v>
      </c>
      <c r="V55" t="s">
        <v>53</v>
      </c>
      <c r="W55">
        <v>0</v>
      </c>
      <c r="X55">
        <v>1</v>
      </c>
      <c r="Y55" t="s">
        <v>53</v>
      </c>
      <c r="Z55">
        <v>0</v>
      </c>
      <c r="AA55">
        <v>1</v>
      </c>
      <c r="AB55" t="s">
        <v>54</v>
      </c>
      <c r="AC55" t="s">
        <v>98</v>
      </c>
      <c r="AD55" t="s">
        <v>98</v>
      </c>
      <c r="AE55">
        <v>1</v>
      </c>
      <c r="AF55">
        <v>1</v>
      </c>
    </row>
    <row r="56" spans="1:32" x14ac:dyDescent="0.2">
      <c r="A56" t="s">
        <v>92</v>
      </c>
      <c r="B56" t="s">
        <v>93</v>
      </c>
      <c r="C56" t="s">
        <v>94</v>
      </c>
      <c r="D56" t="s">
        <v>112</v>
      </c>
      <c r="E56" t="s">
        <v>113</v>
      </c>
      <c r="F56" t="s">
        <v>125</v>
      </c>
      <c r="G56">
        <v>58</v>
      </c>
      <c r="H56" t="s">
        <v>48</v>
      </c>
      <c r="I56" t="s">
        <v>85</v>
      </c>
      <c r="J56" t="s">
        <v>59</v>
      </c>
      <c r="K56">
        <v>1</v>
      </c>
      <c r="L56">
        <v>0</v>
      </c>
      <c r="M56">
        <v>1</v>
      </c>
      <c r="N56" t="s">
        <v>73</v>
      </c>
      <c r="O56">
        <v>1</v>
      </c>
      <c r="P56">
        <v>0</v>
      </c>
      <c r="Q56">
        <v>1</v>
      </c>
      <c r="R56" t="s">
        <v>62</v>
      </c>
      <c r="S56">
        <v>1</v>
      </c>
      <c r="T56">
        <v>0</v>
      </c>
      <c r="U56">
        <v>1</v>
      </c>
      <c r="V56" t="s">
        <v>53</v>
      </c>
      <c r="W56">
        <v>0</v>
      </c>
      <c r="X56">
        <v>1</v>
      </c>
      <c r="Y56" t="s">
        <v>53</v>
      </c>
      <c r="Z56">
        <v>0</v>
      </c>
      <c r="AA56">
        <v>1</v>
      </c>
      <c r="AB56" t="s">
        <v>54</v>
      </c>
      <c r="AC56" t="s">
        <v>98</v>
      </c>
      <c r="AD56" t="s">
        <v>98</v>
      </c>
      <c r="AE56">
        <v>1</v>
      </c>
      <c r="AF56">
        <v>1</v>
      </c>
    </row>
    <row r="57" spans="1:32" x14ac:dyDescent="0.2">
      <c r="A57" t="s">
        <v>92</v>
      </c>
      <c r="B57" t="s">
        <v>93</v>
      </c>
      <c r="C57" t="s">
        <v>94</v>
      </c>
      <c r="D57" t="s">
        <v>112</v>
      </c>
      <c r="E57" t="s">
        <v>113</v>
      </c>
      <c r="F57" t="s">
        <v>126</v>
      </c>
      <c r="G57">
        <v>42</v>
      </c>
      <c r="H57" t="s">
        <v>48</v>
      </c>
      <c r="I57" t="s">
        <v>64</v>
      </c>
      <c r="J57" t="s">
        <v>50</v>
      </c>
      <c r="K57">
        <v>0</v>
      </c>
      <c r="L57">
        <v>0</v>
      </c>
      <c r="M57">
        <v>1</v>
      </c>
      <c r="N57" t="s">
        <v>65</v>
      </c>
      <c r="O57">
        <v>0</v>
      </c>
      <c r="P57">
        <v>1</v>
      </c>
      <c r="Q57">
        <v>1</v>
      </c>
      <c r="R57" t="s">
        <v>51</v>
      </c>
      <c r="S57">
        <v>0</v>
      </c>
      <c r="T57">
        <v>0</v>
      </c>
      <c r="U57">
        <v>1</v>
      </c>
      <c r="V57" t="s">
        <v>53</v>
      </c>
      <c r="W57">
        <v>0</v>
      </c>
      <c r="X57">
        <v>1</v>
      </c>
      <c r="Y57" t="s">
        <v>52</v>
      </c>
      <c r="Z57">
        <v>1</v>
      </c>
      <c r="AA57">
        <v>1</v>
      </c>
      <c r="AB57" t="s">
        <v>54</v>
      </c>
      <c r="AC57" t="s">
        <v>98</v>
      </c>
      <c r="AD57" t="s">
        <v>98</v>
      </c>
      <c r="AE57">
        <v>1</v>
      </c>
      <c r="AF57">
        <v>1</v>
      </c>
    </row>
    <row r="58" spans="1:32" x14ac:dyDescent="0.2">
      <c r="A58" t="s">
        <v>92</v>
      </c>
      <c r="B58" t="s">
        <v>93</v>
      </c>
      <c r="C58" t="s">
        <v>94</v>
      </c>
      <c r="D58" t="s">
        <v>95</v>
      </c>
      <c r="E58" t="s">
        <v>96</v>
      </c>
      <c r="F58" t="s">
        <v>127</v>
      </c>
      <c r="G58">
        <v>27</v>
      </c>
      <c r="H58" t="s">
        <v>56</v>
      </c>
      <c r="I58" t="s">
        <v>49</v>
      </c>
      <c r="J58" t="s">
        <v>50</v>
      </c>
      <c r="K58">
        <v>0</v>
      </c>
      <c r="L58">
        <v>0</v>
      </c>
      <c r="M58">
        <v>1</v>
      </c>
      <c r="N58" t="s">
        <v>50</v>
      </c>
      <c r="O58">
        <v>0</v>
      </c>
      <c r="P58">
        <v>0</v>
      </c>
      <c r="Q58">
        <v>1</v>
      </c>
      <c r="R58" t="s">
        <v>62</v>
      </c>
      <c r="S58">
        <v>1</v>
      </c>
      <c r="T58">
        <v>0</v>
      </c>
      <c r="U58">
        <v>1</v>
      </c>
      <c r="V58" t="s">
        <v>53</v>
      </c>
      <c r="W58">
        <v>0</v>
      </c>
      <c r="X58">
        <v>1</v>
      </c>
      <c r="Y58" t="s">
        <v>53</v>
      </c>
      <c r="Z58">
        <v>0</v>
      </c>
      <c r="AA58">
        <v>1</v>
      </c>
      <c r="AB58" t="s">
        <v>54</v>
      </c>
      <c r="AC58" t="s">
        <v>98</v>
      </c>
      <c r="AD58" t="s">
        <v>98</v>
      </c>
      <c r="AE58">
        <v>1</v>
      </c>
      <c r="AF58">
        <v>1</v>
      </c>
    </row>
    <row r="59" spans="1:32" x14ac:dyDescent="0.2">
      <c r="A59" t="s">
        <v>92</v>
      </c>
      <c r="B59" t="s">
        <v>93</v>
      </c>
      <c r="C59" t="s">
        <v>94</v>
      </c>
      <c r="D59" t="s">
        <v>95</v>
      </c>
      <c r="E59" t="s">
        <v>96</v>
      </c>
      <c r="F59" t="s">
        <v>128</v>
      </c>
      <c r="G59">
        <v>41</v>
      </c>
      <c r="H59" t="s">
        <v>56</v>
      </c>
      <c r="I59" t="s">
        <v>64</v>
      </c>
      <c r="J59" t="s">
        <v>50</v>
      </c>
      <c r="K59">
        <v>0</v>
      </c>
      <c r="L59">
        <v>0</v>
      </c>
      <c r="M59">
        <v>1</v>
      </c>
      <c r="N59" t="s">
        <v>50</v>
      </c>
      <c r="O59">
        <v>0</v>
      </c>
      <c r="P59">
        <v>0</v>
      </c>
      <c r="Q59">
        <v>1</v>
      </c>
      <c r="R59" t="s">
        <v>62</v>
      </c>
      <c r="S59">
        <v>1</v>
      </c>
      <c r="T59">
        <v>0</v>
      </c>
      <c r="U59">
        <v>1</v>
      </c>
      <c r="V59" t="s">
        <v>53</v>
      </c>
      <c r="W59">
        <v>0</v>
      </c>
      <c r="X59">
        <v>1</v>
      </c>
      <c r="Y59" t="s">
        <v>53</v>
      </c>
      <c r="Z59">
        <v>0</v>
      </c>
      <c r="AA59">
        <v>1</v>
      </c>
      <c r="AB59" t="s">
        <v>54</v>
      </c>
      <c r="AC59" t="s">
        <v>98</v>
      </c>
      <c r="AD59" t="s">
        <v>98</v>
      </c>
      <c r="AE59">
        <v>1</v>
      </c>
      <c r="AF59">
        <v>1</v>
      </c>
    </row>
    <row r="60" spans="1:32" x14ac:dyDescent="0.2">
      <c r="A60" t="s">
        <v>92</v>
      </c>
      <c r="B60" t="s">
        <v>93</v>
      </c>
      <c r="C60" t="s">
        <v>94</v>
      </c>
      <c r="D60" t="s">
        <v>95</v>
      </c>
      <c r="E60" t="s">
        <v>96</v>
      </c>
      <c r="F60" t="s">
        <v>129</v>
      </c>
      <c r="G60">
        <v>44</v>
      </c>
      <c r="H60" t="s">
        <v>48</v>
      </c>
      <c r="I60" t="s">
        <v>64</v>
      </c>
      <c r="J60" t="s">
        <v>50</v>
      </c>
      <c r="K60">
        <v>0</v>
      </c>
      <c r="L60">
        <v>0</v>
      </c>
      <c r="M60">
        <v>1</v>
      </c>
      <c r="N60" t="s">
        <v>73</v>
      </c>
      <c r="O60">
        <v>1</v>
      </c>
      <c r="P60">
        <v>0</v>
      </c>
      <c r="Q60">
        <v>1</v>
      </c>
      <c r="R60" t="s">
        <v>60</v>
      </c>
      <c r="S60">
        <v>0</v>
      </c>
      <c r="T60">
        <v>1</v>
      </c>
      <c r="U60">
        <v>1</v>
      </c>
      <c r="V60" t="s">
        <v>53</v>
      </c>
      <c r="W60">
        <v>0</v>
      </c>
      <c r="X60">
        <v>1</v>
      </c>
      <c r="Y60" t="s">
        <v>53</v>
      </c>
      <c r="Z60">
        <v>0</v>
      </c>
      <c r="AA60">
        <v>1</v>
      </c>
      <c r="AB60" t="s">
        <v>54</v>
      </c>
      <c r="AC60" t="s">
        <v>98</v>
      </c>
      <c r="AD60" t="s">
        <v>98</v>
      </c>
      <c r="AE60">
        <v>1</v>
      </c>
      <c r="AF60">
        <v>1</v>
      </c>
    </row>
    <row r="61" spans="1:32" x14ac:dyDescent="0.2">
      <c r="A61" t="s">
        <v>92</v>
      </c>
      <c r="B61" t="s">
        <v>93</v>
      </c>
      <c r="C61" t="s">
        <v>94</v>
      </c>
      <c r="D61" t="s">
        <v>95</v>
      </c>
      <c r="E61" t="s">
        <v>96</v>
      </c>
      <c r="F61" t="s">
        <v>130</v>
      </c>
      <c r="G61">
        <v>46</v>
      </c>
      <c r="H61" t="s">
        <v>48</v>
      </c>
      <c r="I61" t="s">
        <v>70</v>
      </c>
      <c r="J61" t="s">
        <v>50</v>
      </c>
      <c r="K61">
        <v>0</v>
      </c>
      <c r="L61">
        <v>0</v>
      </c>
      <c r="M61">
        <v>1</v>
      </c>
      <c r="N61" t="s">
        <v>73</v>
      </c>
      <c r="O61">
        <v>1</v>
      </c>
      <c r="P61">
        <v>0</v>
      </c>
      <c r="Q61">
        <v>1</v>
      </c>
      <c r="R61" t="s">
        <v>60</v>
      </c>
      <c r="S61">
        <v>0</v>
      </c>
      <c r="T61">
        <v>1</v>
      </c>
      <c r="U61">
        <v>1</v>
      </c>
      <c r="V61" t="s">
        <v>53</v>
      </c>
      <c r="W61">
        <v>0</v>
      </c>
      <c r="X61">
        <v>1</v>
      </c>
      <c r="Y61" t="s">
        <v>53</v>
      </c>
      <c r="Z61">
        <v>0</v>
      </c>
      <c r="AA61">
        <v>1</v>
      </c>
      <c r="AB61" t="s">
        <v>54</v>
      </c>
      <c r="AC61" t="s">
        <v>131</v>
      </c>
      <c r="AD61" t="s">
        <v>98</v>
      </c>
      <c r="AE61">
        <v>1</v>
      </c>
      <c r="AF61">
        <v>1</v>
      </c>
    </row>
    <row r="62" spans="1:32" x14ac:dyDescent="0.2">
      <c r="A62" t="s">
        <v>92</v>
      </c>
      <c r="B62" t="s">
        <v>93</v>
      </c>
      <c r="C62" t="s">
        <v>94</v>
      </c>
      <c r="D62" t="s">
        <v>95</v>
      </c>
      <c r="E62" t="s">
        <v>96</v>
      </c>
      <c r="F62" t="s">
        <v>132</v>
      </c>
      <c r="G62">
        <v>40</v>
      </c>
      <c r="H62" t="s">
        <v>56</v>
      </c>
      <c r="I62" t="s">
        <v>64</v>
      </c>
      <c r="J62" t="s">
        <v>50</v>
      </c>
      <c r="K62">
        <v>0</v>
      </c>
      <c r="L62">
        <v>0</v>
      </c>
      <c r="M62">
        <v>1</v>
      </c>
      <c r="N62" t="s">
        <v>50</v>
      </c>
      <c r="O62">
        <v>0</v>
      </c>
      <c r="P62">
        <v>0</v>
      </c>
      <c r="Q62">
        <v>1</v>
      </c>
      <c r="R62" t="s">
        <v>51</v>
      </c>
      <c r="S62">
        <v>0</v>
      </c>
      <c r="T62">
        <v>0</v>
      </c>
      <c r="U62">
        <v>1</v>
      </c>
      <c r="V62" t="s">
        <v>53</v>
      </c>
      <c r="W62">
        <v>0</v>
      </c>
      <c r="X62">
        <v>1</v>
      </c>
      <c r="Y62" t="s">
        <v>53</v>
      </c>
      <c r="Z62">
        <v>0</v>
      </c>
      <c r="AA62">
        <v>1</v>
      </c>
      <c r="AB62" t="s">
        <v>54</v>
      </c>
      <c r="AC62" t="s">
        <v>98</v>
      </c>
      <c r="AD62" t="s">
        <v>98</v>
      </c>
      <c r="AE62">
        <v>1</v>
      </c>
      <c r="AF62">
        <v>1</v>
      </c>
    </row>
    <row r="63" spans="1:32" x14ac:dyDescent="0.2">
      <c r="A63" t="s">
        <v>92</v>
      </c>
      <c r="B63" t="s">
        <v>93</v>
      </c>
      <c r="C63" t="s">
        <v>94</v>
      </c>
      <c r="D63" t="s">
        <v>95</v>
      </c>
      <c r="E63" t="s">
        <v>96</v>
      </c>
      <c r="F63" t="s">
        <v>133</v>
      </c>
      <c r="G63">
        <v>44</v>
      </c>
      <c r="H63" t="s">
        <v>48</v>
      </c>
      <c r="I63" t="s">
        <v>64</v>
      </c>
      <c r="J63" t="s">
        <v>50</v>
      </c>
      <c r="K63">
        <v>0</v>
      </c>
      <c r="L63">
        <v>0</v>
      </c>
      <c r="M63">
        <v>1</v>
      </c>
      <c r="N63" t="s">
        <v>65</v>
      </c>
      <c r="O63">
        <v>0</v>
      </c>
      <c r="P63">
        <v>1</v>
      </c>
      <c r="Q63">
        <v>1</v>
      </c>
      <c r="R63" t="s">
        <v>51</v>
      </c>
      <c r="S63">
        <v>0</v>
      </c>
      <c r="T63">
        <v>0</v>
      </c>
      <c r="U63">
        <v>1</v>
      </c>
      <c r="V63" t="s">
        <v>53</v>
      </c>
      <c r="W63">
        <v>0</v>
      </c>
      <c r="X63">
        <v>1</v>
      </c>
      <c r="Y63" t="s">
        <v>52</v>
      </c>
      <c r="Z63">
        <v>1</v>
      </c>
      <c r="AA63">
        <v>1</v>
      </c>
      <c r="AB63" t="s">
        <v>54</v>
      </c>
      <c r="AC63" t="s">
        <v>98</v>
      </c>
      <c r="AD63" t="s">
        <v>98</v>
      </c>
      <c r="AE63">
        <v>1</v>
      </c>
      <c r="AF63">
        <v>1</v>
      </c>
    </row>
    <row r="64" spans="1:32" x14ac:dyDescent="0.2">
      <c r="A64" t="s">
        <v>92</v>
      </c>
      <c r="B64" t="s">
        <v>93</v>
      </c>
      <c r="C64" t="s">
        <v>94</v>
      </c>
      <c r="D64" t="s">
        <v>95</v>
      </c>
      <c r="E64" t="s">
        <v>96</v>
      </c>
      <c r="F64" t="s">
        <v>134</v>
      </c>
      <c r="G64">
        <v>32</v>
      </c>
      <c r="H64" t="s">
        <v>48</v>
      </c>
      <c r="I64" t="s">
        <v>49</v>
      </c>
      <c r="J64" t="s">
        <v>50</v>
      </c>
      <c r="K64">
        <v>0</v>
      </c>
      <c r="L64">
        <v>0</v>
      </c>
      <c r="M64">
        <v>1</v>
      </c>
      <c r="N64" t="s">
        <v>73</v>
      </c>
      <c r="O64">
        <v>1</v>
      </c>
      <c r="P64">
        <v>0</v>
      </c>
      <c r="Q64">
        <v>1</v>
      </c>
      <c r="R64" t="s">
        <v>60</v>
      </c>
      <c r="S64">
        <v>0</v>
      </c>
      <c r="T64">
        <v>1</v>
      </c>
      <c r="U64">
        <v>1</v>
      </c>
      <c r="V64" t="s">
        <v>52</v>
      </c>
      <c r="W64">
        <v>1</v>
      </c>
      <c r="X64">
        <v>1</v>
      </c>
      <c r="Y64" t="s">
        <v>52</v>
      </c>
      <c r="Z64">
        <v>1</v>
      </c>
      <c r="AA64">
        <v>1</v>
      </c>
      <c r="AB64" t="s">
        <v>54</v>
      </c>
      <c r="AC64" t="s">
        <v>98</v>
      </c>
      <c r="AD64" t="s">
        <v>98</v>
      </c>
      <c r="AE64">
        <v>1</v>
      </c>
      <c r="AF64">
        <v>1</v>
      </c>
    </row>
    <row r="65" spans="1:32" x14ac:dyDescent="0.2">
      <c r="A65" t="s">
        <v>92</v>
      </c>
      <c r="B65" t="s">
        <v>93</v>
      </c>
      <c r="C65" t="s">
        <v>94</v>
      </c>
      <c r="D65" t="s">
        <v>95</v>
      </c>
      <c r="E65" t="s">
        <v>96</v>
      </c>
      <c r="F65" t="s">
        <v>135</v>
      </c>
      <c r="G65">
        <v>48</v>
      </c>
      <c r="H65" t="s">
        <v>56</v>
      </c>
      <c r="I65" t="s">
        <v>70</v>
      </c>
      <c r="J65" t="s">
        <v>50</v>
      </c>
      <c r="K65">
        <v>0</v>
      </c>
      <c r="L65">
        <v>0</v>
      </c>
      <c r="M65">
        <v>1</v>
      </c>
      <c r="N65" t="s">
        <v>73</v>
      </c>
      <c r="O65">
        <v>1</v>
      </c>
      <c r="P65">
        <v>0</v>
      </c>
      <c r="Q65">
        <v>1</v>
      </c>
      <c r="R65" t="s">
        <v>62</v>
      </c>
      <c r="S65">
        <v>1</v>
      </c>
      <c r="T65">
        <v>0</v>
      </c>
      <c r="U65">
        <v>1</v>
      </c>
      <c r="V65" t="s">
        <v>53</v>
      </c>
      <c r="W65">
        <v>0</v>
      </c>
      <c r="X65">
        <v>1</v>
      </c>
      <c r="Y65" t="s">
        <v>52</v>
      </c>
      <c r="Z65">
        <v>1</v>
      </c>
      <c r="AA65">
        <v>1</v>
      </c>
      <c r="AB65" t="s">
        <v>54</v>
      </c>
      <c r="AC65" t="s">
        <v>98</v>
      </c>
      <c r="AD65" t="s">
        <v>98</v>
      </c>
      <c r="AE65">
        <v>1</v>
      </c>
      <c r="AF65">
        <v>1</v>
      </c>
    </row>
    <row r="66" spans="1:32" x14ac:dyDescent="0.2">
      <c r="A66" t="s">
        <v>92</v>
      </c>
      <c r="B66" t="s">
        <v>93</v>
      </c>
      <c r="C66" t="s">
        <v>94</v>
      </c>
      <c r="D66" t="s">
        <v>95</v>
      </c>
      <c r="E66" t="s">
        <v>96</v>
      </c>
      <c r="F66" t="s">
        <v>136</v>
      </c>
      <c r="G66">
        <v>54</v>
      </c>
      <c r="H66" t="s">
        <v>56</v>
      </c>
      <c r="I66" t="s">
        <v>70</v>
      </c>
      <c r="J66" t="s">
        <v>50</v>
      </c>
      <c r="K66">
        <v>0</v>
      </c>
      <c r="L66">
        <v>0</v>
      </c>
      <c r="M66">
        <v>1</v>
      </c>
      <c r="N66" t="s">
        <v>65</v>
      </c>
      <c r="O66">
        <v>0</v>
      </c>
      <c r="P66">
        <v>1</v>
      </c>
      <c r="Q66">
        <v>1</v>
      </c>
      <c r="R66" t="s">
        <v>62</v>
      </c>
      <c r="S66">
        <v>1</v>
      </c>
      <c r="T66">
        <v>0</v>
      </c>
      <c r="U66">
        <v>1</v>
      </c>
      <c r="V66" t="s">
        <v>53</v>
      </c>
      <c r="W66">
        <v>0</v>
      </c>
      <c r="X66">
        <v>1</v>
      </c>
      <c r="Y66" t="s">
        <v>53</v>
      </c>
      <c r="Z66">
        <v>0</v>
      </c>
      <c r="AA66">
        <v>1</v>
      </c>
      <c r="AB66" t="s">
        <v>54</v>
      </c>
      <c r="AC66" t="s">
        <v>98</v>
      </c>
      <c r="AD66" t="s">
        <v>98</v>
      </c>
      <c r="AE66">
        <v>1</v>
      </c>
      <c r="AF66">
        <v>1</v>
      </c>
    </row>
    <row r="67" spans="1:32" x14ac:dyDescent="0.2">
      <c r="A67" t="s">
        <v>92</v>
      </c>
      <c r="B67" t="s">
        <v>93</v>
      </c>
      <c r="C67" t="s">
        <v>94</v>
      </c>
      <c r="D67" t="s">
        <v>95</v>
      </c>
      <c r="E67" t="s">
        <v>96</v>
      </c>
      <c r="F67" t="s">
        <v>137</v>
      </c>
      <c r="G67">
        <v>41</v>
      </c>
      <c r="H67" t="s">
        <v>48</v>
      </c>
      <c r="I67" t="s">
        <v>64</v>
      </c>
      <c r="J67" t="s">
        <v>50</v>
      </c>
      <c r="K67">
        <v>0</v>
      </c>
      <c r="L67">
        <v>0</v>
      </c>
      <c r="M67">
        <v>1</v>
      </c>
      <c r="N67" t="s">
        <v>65</v>
      </c>
      <c r="O67">
        <v>0</v>
      </c>
      <c r="P67">
        <v>1</v>
      </c>
      <c r="Q67">
        <v>1</v>
      </c>
      <c r="R67" t="s">
        <v>60</v>
      </c>
      <c r="S67">
        <v>0</v>
      </c>
      <c r="T67">
        <v>1</v>
      </c>
      <c r="U67">
        <v>1</v>
      </c>
      <c r="V67" t="s">
        <v>53</v>
      </c>
      <c r="W67">
        <v>0</v>
      </c>
      <c r="X67">
        <v>1</v>
      </c>
      <c r="Y67" t="s">
        <v>53</v>
      </c>
      <c r="Z67">
        <v>0</v>
      </c>
      <c r="AA67">
        <v>1</v>
      </c>
      <c r="AB67" t="s">
        <v>54</v>
      </c>
      <c r="AC67" t="s">
        <v>98</v>
      </c>
      <c r="AD67" t="s">
        <v>98</v>
      </c>
      <c r="AE67">
        <v>1</v>
      </c>
      <c r="AF67">
        <v>1</v>
      </c>
    </row>
    <row r="68" spans="1:32" x14ac:dyDescent="0.2">
      <c r="A68" t="s">
        <v>92</v>
      </c>
      <c r="B68" t="s">
        <v>93</v>
      </c>
      <c r="C68" t="s">
        <v>94</v>
      </c>
      <c r="D68" t="s">
        <v>95</v>
      </c>
      <c r="E68" t="s">
        <v>96</v>
      </c>
      <c r="F68" t="s">
        <v>138</v>
      </c>
      <c r="G68">
        <v>38</v>
      </c>
      <c r="H68" t="s">
        <v>48</v>
      </c>
      <c r="I68" t="s">
        <v>64</v>
      </c>
      <c r="J68" t="s">
        <v>50</v>
      </c>
      <c r="K68">
        <v>0</v>
      </c>
      <c r="L68">
        <v>0</v>
      </c>
      <c r="M68">
        <v>1</v>
      </c>
      <c r="N68" t="s">
        <v>65</v>
      </c>
      <c r="O68">
        <v>0</v>
      </c>
      <c r="P68">
        <v>1</v>
      </c>
      <c r="Q68">
        <v>1</v>
      </c>
      <c r="R68" t="s">
        <v>60</v>
      </c>
      <c r="S68">
        <v>0</v>
      </c>
      <c r="T68">
        <v>1</v>
      </c>
      <c r="U68">
        <v>1</v>
      </c>
      <c r="V68" t="s">
        <v>53</v>
      </c>
      <c r="W68">
        <v>0</v>
      </c>
      <c r="X68">
        <v>1</v>
      </c>
      <c r="Y68" t="s">
        <v>53</v>
      </c>
      <c r="Z68">
        <v>0</v>
      </c>
      <c r="AA68">
        <v>1</v>
      </c>
      <c r="AB68" t="s">
        <v>54</v>
      </c>
      <c r="AC68" t="s">
        <v>98</v>
      </c>
      <c r="AD68" t="s">
        <v>98</v>
      </c>
      <c r="AE68">
        <v>1</v>
      </c>
      <c r="AF68">
        <v>1</v>
      </c>
    </row>
    <row r="69" spans="1:32" x14ac:dyDescent="0.2">
      <c r="A69" t="s">
        <v>92</v>
      </c>
      <c r="B69" t="s">
        <v>93</v>
      </c>
      <c r="C69" t="s">
        <v>94</v>
      </c>
      <c r="D69" t="s">
        <v>112</v>
      </c>
      <c r="E69" t="s">
        <v>113</v>
      </c>
      <c r="F69" t="s">
        <v>139</v>
      </c>
      <c r="G69">
        <v>33</v>
      </c>
      <c r="H69" t="s">
        <v>48</v>
      </c>
      <c r="I69" t="s">
        <v>49</v>
      </c>
      <c r="J69" t="s">
        <v>50</v>
      </c>
      <c r="K69">
        <v>0</v>
      </c>
      <c r="L69">
        <v>0</v>
      </c>
      <c r="M69">
        <v>1</v>
      </c>
      <c r="N69" t="s">
        <v>65</v>
      </c>
      <c r="O69">
        <v>0</v>
      </c>
      <c r="P69">
        <v>1</v>
      </c>
      <c r="Q69">
        <v>1</v>
      </c>
      <c r="R69" t="s">
        <v>62</v>
      </c>
      <c r="S69">
        <v>1</v>
      </c>
      <c r="T69">
        <v>0</v>
      </c>
      <c r="U69">
        <v>1</v>
      </c>
      <c r="V69" t="s">
        <v>53</v>
      </c>
      <c r="W69">
        <v>0</v>
      </c>
      <c r="X69">
        <v>1</v>
      </c>
      <c r="Y69" t="s">
        <v>53</v>
      </c>
      <c r="Z69">
        <v>0</v>
      </c>
      <c r="AA69">
        <v>1</v>
      </c>
      <c r="AB69" t="s">
        <v>54</v>
      </c>
      <c r="AC69" t="s">
        <v>98</v>
      </c>
      <c r="AD69" t="s">
        <v>98</v>
      </c>
      <c r="AE69">
        <v>1</v>
      </c>
      <c r="AF69">
        <v>1</v>
      </c>
    </row>
    <row r="70" spans="1:32" x14ac:dyDescent="0.2">
      <c r="A70" t="s">
        <v>92</v>
      </c>
      <c r="B70" t="s">
        <v>93</v>
      </c>
      <c r="C70" t="s">
        <v>94</v>
      </c>
      <c r="D70" t="s">
        <v>95</v>
      </c>
      <c r="E70" t="s">
        <v>96</v>
      </c>
      <c r="F70" t="s">
        <v>140</v>
      </c>
      <c r="G70">
        <v>53</v>
      </c>
      <c r="H70" t="s">
        <v>48</v>
      </c>
      <c r="I70" t="s">
        <v>70</v>
      </c>
      <c r="J70" t="s">
        <v>50</v>
      </c>
      <c r="K70">
        <v>0</v>
      </c>
      <c r="L70">
        <v>0</v>
      </c>
      <c r="M70">
        <v>1</v>
      </c>
      <c r="N70" t="s">
        <v>73</v>
      </c>
      <c r="O70">
        <v>1</v>
      </c>
      <c r="P70">
        <v>0</v>
      </c>
      <c r="Q70">
        <v>1</v>
      </c>
      <c r="R70" t="s">
        <v>62</v>
      </c>
      <c r="S70">
        <v>1</v>
      </c>
      <c r="T70">
        <v>0</v>
      </c>
      <c r="U70">
        <v>1</v>
      </c>
      <c r="V70" t="s">
        <v>53</v>
      </c>
      <c r="W70">
        <v>0</v>
      </c>
      <c r="X70">
        <v>1</v>
      </c>
      <c r="Y70" t="s">
        <v>53</v>
      </c>
      <c r="Z70">
        <v>0</v>
      </c>
      <c r="AA70">
        <v>1</v>
      </c>
      <c r="AB70" t="s">
        <v>54</v>
      </c>
      <c r="AC70" t="s">
        <v>98</v>
      </c>
      <c r="AD70" t="s">
        <v>98</v>
      </c>
      <c r="AE70">
        <v>1</v>
      </c>
      <c r="AF70">
        <v>1</v>
      </c>
    </row>
    <row r="71" spans="1:32" x14ac:dyDescent="0.2">
      <c r="A71" t="s">
        <v>92</v>
      </c>
      <c r="B71" t="s">
        <v>93</v>
      </c>
      <c r="C71" t="s">
        <v>94</v>
      </c>
      <c r="D71" t="s">
        <v>95</v>
      </c>
      <c r="E71" t="s">
        <v>96</v>
      </c>
      <c r="F71" t="s">
        <v>141</v>
      </c>
      <c r="G71">
        <v>36</v>
      </c>
      <c r="H71" t="s">
        <v>48</v>
      </c>
      <c r="I71" t="s">
        <v>64</v>
      </c>
      <c r="J71" t="s">
        <v>50</v>
      </c>
      <c r="K71">
        <v>0</v>
      </c>
      <c r="L71">
        <v>0</v>
      </c>
      <c r="M71">
        <v>1</v>
      </c>
      <c r="N71" t="s">
        <v>73</v>
      </c>
      <c r="O71">
        <v>1</v>
      </c>
      <c r="P71">
        <v>0</v>
      </c>
      <c r="Q71">
        <v>1</v>
      </c>
      <c r="R71" t="s">
        <v>60</v>
      </c>
      <c r="S71">
        <v>0</v>
      </c>
      <c r="T71">
        <v>1</v>
      </c>
      <c r="U71">
        <v>1</v>
      </c>
      <c r="V71" t="s">
        <v>53</v>
      </c>
      <c r="W71">
        <v>0</v>
      </c>
      <c r="X71">
        <v>1</v>
      </c>
      <c r="Y71" t="s">
        <v>53</v>
      </c>
      <c r="Z71">
        <v>0</v>
      </c>
      <c r="AA71">
        <v>1</v>
      </c>
      <c r="AB71" t="s">
        <v>54</v>
      </c>
      <c r="AC71" t="s">
        <v>98</v>
      </c>
      <c r="AD71" t="s">
        <v>98</v>
      </c>
      <c r="AE71">
        <v>1</v>
      </c>
      <c r="AF71">
        <v>1</v>
      </c>
    </row>
    <row r="72" spans="1:32" x14ac:dyDescent="0.2">
      <c r="A72" t="s">
        <v>92</v>
      </c>
      <c r="B72" t="s">
        <v>93</v>
      </c>
      <c r="C72" t="s">
        <v>94</v>
      </c>
      <c r="D72" t="s">
        <v>95</v>
      </c>
      <c r="E72" t="s">
        <v>96</v>
      </c>
      <c r="F72" t="s">
        <v>142</v>
      </c>
      <c r="G72">
        <v>51</v>
      </c>
      <c r="H72" t="s">
        <v>48</v>
      </c>
      <c r="I72" t="s">
        <v>70</v>
      </c>
      <c r="J72" t="s">
        <v>50</v>
      </c>
      <c r="K72">
        <v>0</v>
      </c>
      <c r="L72">
        <v>0</v>
      </c>
      <c r="M72">
        <v>1</v>
      </c>
      <c r="N72" t="s">
        <v>50</v>
      </c>
      <c r="O72">
        <v>0</v>
      </c>
      <c r="P72">
        <v>0</v>
      </c>
      <c r="Q72">
        <v>1</v>
      </c>
      <c r="R72" t="s">
        <v>60</v>
      </c>
      <c r="S72">
        <v>0</v>
      </c>
      <c r="T72">
        <v>1</v>
      </c>
      <c r="U72">
        <v>1</v>
      </c>
      <c r="V72" t="s">
        <v>53</v>
      </c>
      <c r="W72">
        <v>0</v>
      </c>
      <c r="X72">
        <v>1</v>
      </c>
      <c r="Y72" t="s">
        <v>52</v>
      </c>
      <c r="Z72">
        <v>1</v>
      </c>
      <c r="AA72">
        <v>1</v>
      </c>
      <c r="AB72" t="s">
        <v>54</v>
      </c>
      <c r="AC72" t="s">
        <v>98</v>
      </c>
      <c r="AD72" t="s">
        <v>98</v>
      </c>
      <c r="AE72">
        <v>1</v>
      </c>
      <c r="AF72">
        <v>1</v>
      </c>
    </row>
    <row r="73" spans="1:32" x14ac:dyDescent="0.2">
      <c r="A73" t="s">
        <v>92</v>
      </c>
      <c r="B73" t="s">
        <v>93</v>
      </c>
      <c r="C73" t="s">
        <v>94</v>
      </c>
      <c r="D73" t="s">
        <v>95</v>
      </c>
      <c r="E73" t="s">
        <v>96</v>
      </c>
      <c r="F73" t="s">
        <v>143</v>
      </c>
      <c r="G73">
        <v>41</v>
      </c>
      <c r="H73" t="s">
        <v>48</v>
      </c>
      <c r="I73" t="s">
        <v>64</v>
      </c>
      <c r="J73" t="s">
        <v>144</v>
      </c>
      <c r="K73">
        <v>0</v>
      </c>
      <c r="L73">
        <v>1</v>
      </c>
      <c r="M73">
        <v>1</v>
      </c>
      <c r="N73" t="s">
        <v>73</v>
      </c>
      <c r="O73">
        <v>1</v>
      </c>
      <c r="P73">
        <v>0</v>
      </c>
      <c r="Q73">
        <v>1</v>
      </c>
      <c r="R73" t="s">
        <v>60</v>
      </c>
      <c r="S73">
        <v>0</v>
      </c>
      <c r="T73">
        <v>1</v>
      </c>
      <c r="U73">
        <v>1</v>
      </c>
      <c r="V73" t="s">
        <v>52</v>
      </c>
      <c r="W73">
        <v>1</v>
      </c>
      <c r="X73">
        <v>1</v>
      </c>
      <c r="Y73" t="s">
        <v>53</v>
      </c>
      <c r="Z73">
        <v>0</v>
      </c>
      <c r="AA73">
        <v>1</v>
      </c>
      <c r="AB73" t="s">
        <v>54</v>
      </c>
      <c r="AC73" t="s">
        <v>98</v>
      </c>
      <c r="AD73" t="s">
        <v>98</v>
      </c>
      <c r="AE73">
        <v>1</v>
      </c>
      <c r="AF73">
        <v>1</v>
      </c>
    </row>
    <row r="74" spans="1:32" x14ac:dyDescent="0.2">
      <c r="A74" t="s">
        <v>92</v>
      </c>
      <c r="B74" t="s">
        <v>93</v>
      </c>
      <c r="C74" t="s">
        <v>94</v>
      </c>
      <c r="D74" t="s">
        <v>95</v>
      </c>
      <c r="E74" t="s">
        <v>96</v>
      </c>
      <c r="F74" t="s">
        <v>145</v>
      </c>
      <c r="G74">
        <v>55</v>
      </c>
      <c r="H74" t="s">
        <v>56</v>
      </c>
      <c r="I74" t="s">
        <v>70</v>
      </c>
      <c r="J74" t="s">
        <v>50</v>
      </c>
      <c r="K74">
        <v>0</v>
      </c>
      <c r="L74">
        <v>0</v>
      </c>
      <c r="M74">
        <v>1</v>
      </c>
      <c r="N74" t="s">
        <v>65</v>
      </c>
      <c r="O74">
        <v>0</v>
      </c>
      <c r="P74">
        <v>1</v>
      </c>
      <c r="Q74">
        <v>1</v>
      </c>
      <c r="S74">
        <v>0</v>
      </c>
      <c r="T74">
        <v>0</v>
      </c>
      <c r="U74">
        <v>0</v>
      </c>
      <c r="W74">
        <v>0</v>
      </c>
      <c r="X74">
        <v>0</v>
      </c>
      <c r="Y74" t="s">
        <v>52</v>
      </c>
      <c r="Z74">
        <v>1</v>
      </c>
      <c r="AA74">
        <v>1</v>
      </c>
      <c r="AB74" t="s">
        <v>54</v>
      </c>
      <c r="AC74" t="s">
        <v>98</v>
      </c>
      <c r="AD74" t="s">
        <v>131</v>
      </c>
      <c r="AE74">
        <v>1</v>
      </c>
      <c r="AF74">
        <v>1</v>
      </c>
    </row>
    <row r="75" spans="1:32" x14ac:dyDescent="0.2">
      <c r="A75" t="s">
        <v>92</v>
      </c>
      <c r="B75" t="s">
        <v>93</v>
      </c>
      <c r="C75" t="s">
        <v>94</v>
      </c>
      <c r="D75" t="s">
        <v>95</v>
      </c>
      <c r="E75" t="s">
        <v>96</v>
      </c>
      <c r="F75" t="s">
        <v>146</v>
      </c>
      <c r="G75">
        <v>51</v>
      </c>
      <c r="H75" t="s">
        <v>48</v>
      </c>
      <c r="I75" t="s">
        <v>70</v>
      </c>
      <c r="J75" t="s">
        <v>50</v>
      </c>
      <c r="K75">
        <v>0</v>
      </c>
      <c r="L75">
        <v>0</v>
      </c>
      <c r="M75">
        <v>1</v>
      </c>
      <c r="N75" t="s">
        <v>50</v>
      </c>
      <c r="O75">
        <v>0</v>
      </c>
      <c r="P75">
        <v>0</v>
      </c>
      <c r="Q75">
        <v>1</v>
      </c>
      <c r="R75" t="s">
        <v>62</v>
      </c>
      <c r="S75">
        <v>1</v>
      </c>
      <c r="T75">
        <v>0</v>
      </c>
      <c r="U75">
        <v>1</v>
      </c>
      <c r="V75" t="s">
        <v>52</v>
      </c>
      <c r="W75">
        <v>1</v>
      </c>
      <c r="X75">
        <v>1</v>
      </c>
      <c r="Y75" t="s">
        <v>53</v>
      </c>
      <c r="Z75">
        <v>0</v>
      </c>
      <c r="AA75">
        <v>1</v>
      </c>
      <c r="AB75" t="s">
        <v>54</v>
      </c>
      <c r="AC75" t="s">
        <v>98</v>
      </c>
      <c r="AD75" t="s">
        <v>98</v>
      </c>
      <c r="AE75">
        <v>1</v>
      </c>
      <c r="AF75">
        <v>1</v>
      </c>
    </row>
    <row r="76" spans="1:32" x14ac:dyDescent="0.2">
      <c r="A76" t="s">
        <v>92</v>
      </c>
      <c r="B76" t="s">
        <v>93</v>
      </c>
      <c r="C76" t="s">
        <v>94</v>
      </c>
      <c r="D76" t="s">
        <v>112</v>
      </c>
      <c r="E76" t="s">
        <v>113</v>
      </c>
      <c r="F76" t="s">
        <v>147</v>
      </c>
      <c r="G76">
        <v>42</v>
      </c>
      <c r="H76" t="s">
        <v>48</v>
      </c>
      <c r="I76" t="s">
        <v>64</v>
      </c>
      <c r="J76" t="s">
        <v>50</v>
      </c>
      <c r="K76">
        <v>0</v>
      </c>
      <c r="L76">
        <v>0</v>
      </c>
      <c r="M76">
        <v>1</v>
      </c>
      <c r="N76" t="s">
        <v>50</v>
      </c>
      <c r="O76">
        <v>0</v>
      </c>
      <c r="P76">
        <v>0</v>
      </c>
      <c r="Q76">
        <v>1</v>
      </c>
      <c r="S76">
        <v>0</v>
      </c>
      <c r="T76">
        <v>0</v>
      </c>
      <c r="U76">
        <v>0</v>
      </c>
      <c r="V76" t="s">
        <v>53</v>
      </c>
      <c r="W76">
        <v>0</v>
      </c>
      <c r="X76">
        <v>1</v>
      </c>
      <c r="Y76" t="s">
        <v>53</v>
      </c>
      <c r="Z76">
        <v>0</v>
      </c>
      <c r="AA76">
        <v>1</v>
      </c>
      <c r="AB76" t="s">
        <v>54</v>
      </c>
      <c r="AC76" t="s">
        <v>98</v>
      </c>
      <c r="AD76" t="s">
        <v>98</v>
      </c>
      <c r="AE76">
        <v>1</v>
      </c>
      <c r="AF76">
        <v>1</v>
      </c>
    </row>
    <row r="77" spans="1:32" x14ac:dyDescent="0.2">
      <c r="A77" t="s">
        <v>92</v>
      </c>
      <c r="B77" t="s">
        <v>93</v>
      </c>
      <c r="C77" t="s">
        <v>94</v>
      </c>
      <c r="D77" t="s">
        <v>95</v>
      </c>
      <c r="E77" t="s">
        <v>96</v>
      </c>
      <c r="F77" t="s">
        <v>148</v>
      </c>
      <c r="G77">
        <v>35</v>
      </c>
      <c r="H77" t="s">
        <v>48</v>
      </c>
      <c r="I77" t="s">
        <v>49</v>
      </c>
      <c r="J77" t="s">
        <v>144</v>
      </c>
      <c r="K77">
        <v>0</v>
      </c>
      <c r="L77">
        <v>1</v>
      </c>
      <c r="M77">
        <v>1</v>
      </c>
      <c r="N77" t="s">
        <v>73</v>
      </c>
      <c r="O77">
        <v>1</v>
      </c>
      <c r="P77">
        <v>0</v>
      </c>
      <c r="Q77">
        <v>1</v>
      </c>
      <c r="R77" t="s">
        <v>60</v>
      </c>
      <c r="S77">
        <v>0</v>
      </c>
      <c r="T77">
        <v>1</v>
      </c>
      <c r="U77">
        <v>1</v>
      </c>
      <c r="V77" t="s">
        <v>53</v>
      </c>
      <c r="W77">
        <v>0</v>
      </c>
      <c r="X77">
        <v>1</v>
      </c>
      <c r="Y77" t="s">
        <v>52</v>
      </c>
      <c r="Z77">
        <v>1</v>
      </c>
      <c r="AA77">
        <v>1</v>
      </c>
      <c r="AB77" t="s">
        <v>54</v>
      </c>
      <c r="AC77" t="s">
        <v>98</v>
      </c>
      <c r="AD77" t="s">
        <v>98</v>
      </c>
      <c r="AE77">
        <v>1</v>
      </c>
      <c r="AF77">
        <v>1</v>
      </c>
    </row>
    <row r="78" spans="1:32" x14ac:dyDescent="0.2">
      <c r="A78" t="s">
        <v>92</v>
      </c>
      <c r="B78" t="s">
        <v>93</v>
      </c>
      <c r="C78" t="s">
        <v>94</v>
      </c>
      <c r="D78" t="s">
        <v>95</v>
      </c>
      <c r="E78" t="s">
        <v>96</v>
      </c>
      <c r="F78" t="s">
        <v>149</v>
      </c>
      <c r="G78">
        <v>39</v>
      </c>
      <c r="H78" t="s">
        <v>56</v>
      </c>
      <c r="I78" t="s">
        <v>64</v>
      </c>
      <c r="J78" t="s">
        <v>50</v>
      </c>
      <c r="K78">
        <v>0</v>
      </c>
      <c r="L78">
        <v>0</v>
      </c>
      <c r="M78">
        <v>1</v>
      </c>
      <c r="N78" t="s">
        <v>50</v>
      </c>
      <c r="O78">
        <v>0</v>
      </c>
      <c r="P78">
        <v>0</v>
      </c>
      <c r="Q78">
        <v>1</v>
      </c>
      <c r="R78" t="s">
        <v>62</v>
      </c>
      <c r="S78">
        <v>1</v>
      </c>
      <c r="T78">
        <v>0</v>
      </c>
      <c r="U78">
        <v>1</v>
      </c>
      <c r="V78" t="s">
        <v>53</v>
      </c>
      <c r="W78">
        <v>0</v>
      </c>
      <c r="X78">
        <v>1</v>
      </c>
      <c r="Y78" t="s">
        <v>53</v>
      </c>
      <c r="Z78">
        <v>0</v>
      </c>
      <c r="AA78">
        <v>1</v>
      </c>
      <c r="AB78" t="s">
        <v>54</v>
      </c>
      <c r="AC78" t="s">
        <v>98</v>
      </c>
      <c r="AD78" t="s">
        <v>98</v>
      </c>
      <c r="AE78">
        <v>1</v>
      </c>
      <c r="AF78">
        <v>1</v>
      </c>
    </row>
    <row r="79" spans="1:32" x14ac:dyDescent="0.2">
      <c r="A79" t="s">
        <v>92</v>
      </c>
      <c r="B79" t="s">
        <v>93</v>
      </c>
      <c r="C79" t="s">
        <v>94</v>
      </c>
      <c r="D79" t="s">
        <v>112</v>
      </c>
      <c r="E79" t="s">
        <v>113</v>
      </c>
      <c r="F79" t="s">
        <v>150</v>
      </c>
      <c r="G79">
        <v>49</v>
      </c>
      <c r="H79" t="s">
        <v>48</v>
      </c>
      <c r="I79" t="s">
        <v>70</v>
      </c>
      <c r="J79" t="s">
        <v>50</v>
      </c>
      <c r="K79">
        <v>0</v>
      </c>
      <c r="L79">
        <v>0</v>
      </c>
      <c r="M79">
        <v>1</v>
      </c>
      <c r="N79" t="s">
        <v>65</v>
      </c>
      <c r="O79">
        <v>0</v>
      </c>
      <c r="P79">
        <v>1</v>
      </c>
      <c r="Q79">
        <v>1</v>
      </c>
      <c r="R79" t="s">
        <v>60</v>
      </c>
      <c r="S79">
        <v>0</v>
      </c>
      <c r="T79">
        <v>1</v>
      </c>
      <c r="U79">
        <v>1</v>
      </c>
      <c r="V79" t="s">
        <v>53</v>
      </c>
      <c r="W79">
        <v>0</v>
      </c>
      <c r="X79">
        <v>1</v>
      </c>
      <c r="Y79" t="s">
        <v>53</v>
      </c>
      <c r="Z79">
        <v>0</v>
      </c>
      <c r="AA79">
        <v>1</v>
      </c>
      <c r="AB79" t="s">
        <v>54</v>
      </c>
      <c r="AC79" t="s">
        <v>98</v>
      </c>
      <c r="AD79" t="s">
        <v>98</v>
      </c>
      <c r="AE79">
        <v>1</v>
      </c>
      <c r="AF79">
        <v>1</v>
      </c>
    </row>
    <row r="80" spans="1:32" x14ac:dyDescent="0.2">
      <c r="A80" t="s">
        <v>92</v>
      </c>
      <c r="B80" t="s">
        <v>93</v>
      </c>
      <c r="C80" t="s">
        <v>94</v>
      </c>
      <c r="D80" t="s">
        <v>95</v>
      </c>
      <c r="E80" t="s">
        <v>96</v>
      </c>
      <c r="F80" t="s">
        <v>151</v>
      </c>
      <c r="G80">
        <v>41</v>
      </c>
      <c r="H80" t="s">
        <v>56</v>
      </c>
      <c r="I80" t="s">
        <v>64</v>
      </c>
      <c r="J80" t="s">
        <v>50</v>
      </c>
      <c r="K80">
        <v>0</v>
      </c>
      <c r="L80">
        <v>0</v>
      </c>
      <c r="M80">
        <v>1</v>
      </c>
      <c r="N80" t="s">
        <v>65</v>
      </c>
      <c r="O80">
        <v>0</v>
      </c>
      <c r="P80">
        <v>1</v>
      </c>
      <c r="Q80">
        <v>1</v>
      </c>
      <c r="R80" t="s">
        <v>62</v>
      </c>
      <c r="S80">
        <v>1</v>
      </c>
      <c r="T80">
        <v>0</v>
      </c>
      <c r="U80">
        <v>1</v>
      </c>
      <c r="V80" t="s">
        <v>53</v>
      </c>
      <c r="W80">
        <v>0</v>
      </c>
      <c r="X80">
        <v>1</v>
      </c>
      <c r="Y80" t="s">
        <v>52</v>
      </c>
      <c r="Z80">
        <v>1</v>
      </c>
      <c r="AA80">
        <v>1</v>
      </c>
      <c r="AB80" t="s">
        <v>54</v>
      </c>
      <c r="AC80" t="s">
        <v>98</v>
      </c>
      <c r="AD80" t="s">
        <v>98</v>
      </c>
      <c r="AE80">
        <v>1</v>
      </c>
      <c r="AF80">
        <v>1</v>
      </c>
    </row>
    <row r="81" spans="1:32" x14ac:dyDescent="0.2">
      <c r="A81" t="s">
        <v>92</v>
      </c>
      <c r="B81" t="s">
        <v>93</v>
      </c>
      <c r="C81" t="s">
        <v>94</v>
      </c>
      <c r="D81" t="s">
        <v>112</v>
      </c>
      <c r="E81" t="s">
        <v>113</v>
      </c>
      <c r="F81" t="s">
        <v>152</v>
      </c>
      <c r="G81">
        <v>46</v>
      </c>
      <c r="H81" t="s">
        <v>56</v>
      </c>
      <c r="I81" t="s">
        <v>70</v>
      </c>
      <c r="K81">
        <v>0</v>
      </c>
      <c r="L81">
        <v>0</v>
      </c>
      <c r="M81">
        <v>0</v>
      </c>
      <c r="N81" t="s">
        <v>73</v>
      </c>
      <c r="O81">
        <v>1</v>
      </c>
      <c r="P81">
        <v>0</v>
      </c>
      <c r="Q81">
        <v>1</v>
      </c>
      <c r="R81" t="s">
        <v>62</v>
      </c>
      <c r="S81">
        <v>1</v>
      </c>
      <c r="T81">
        <v>0</v>
      </c>
      <c r="U81">
        <v>1</v>
      </c>
      <c r="V81" t="s">
        <v>53</v>
      </c>
      <c r="W81">
        <v>0</v>
      </c>
      <c r="X81">
        <v>1</v>
      </c>
      <c r="Y81" t="s">
        <v>53</v>
      </c>
      <c r="Z81">
        <v>0</v>
      </c>
      <c r="AA81">
        <v>1</v>
      </c>
      <c r="AB81" t="s">
        <v>153</v>
      </c>
      <c r="AC81" t="s">
        <v>98</v>
      </c>
      <c r="AD81" t="s">
        <v>98</v>
      </c>
      <c r="AE81">
        <v>1</v>
      </c>
      <c r="AF81">
        <v>1</v>
      </c>
    </row>
    <row r="82" spans="1:32" x14ac:dyDescent="0.2">
      <c r="A82" t="s">
        <v>92</v>
      </c>
      <c r="B82" t="s">
        <v>93</v>
      </c>
      <c r="C82" t="s">
        <v>94</v>
      </c>
      <c r="D82" t="s">
        <v>95</v>
      </c>
      <c r="E82" t="s">
        <v>96</v>
      </c>
      <c r="F82" t="s">
        <v>154</v>
      </c>
      <c r="G82">
        <v>39</v>
      </c>
      <c r="H82" t="s">
        <v>48</v>
      </c>
      <c r="I82" t="s">
        <v>64</v>
      </c>
      <c r="J82" t="s">
        <v>50</v>
      </c>
      <c r="K82">
        <v>0</v>
      </c>
      <c r="L82">
        <v>0</v>
      </c>
      <c r="M82">
        <v>1</v>
      </c>
      <c r="N82" t="s">
        <v>73</v>
      </c>
      <c r="O82">
        <v>1</v>
      </c>
      <c r="P82">
        <v>0</v>
      </c>
      <c r="Q82">
        <v>1</v>
      </c>
      <c r="R82" t="s">
        <v>62</v>
      </c>
      <c r="S82">
        <v>1</v>
      </c>
      <c r="T82">
        <v>0</v>
      </c>
      <c r="U82">
        <v>1</v>
      </c>
      <c r="V82" t="s">
        <v>52</v>
      </c>
      <c r="W82">
        <v>1</v>
      </c>
      <c r="X82">
        <v>1</v>
      </c>
      <c r="Y82" t="s">
        <v>52</v>
      </c>
      <c r="Z82">
        <v>1</v>
      </c>
      <c r="AA82">
        <v>1</v>
      </c>
      <c r="AB82" t="s">
        <v>54</v>
      </c>
      <c r="AC82" t="s">
        <v>98</v>
      </c>
      <c r="AD82" t="s">
        <v>98</v>
      </c>
      <c r="AE82">
        <v>1</v>
      </c>
      <c r="AF82">
        <v>1</v>
      </c>
    </row>
    <row r="83" spans="1:32" x14ac:dyDescent="0.2">
      <c r="A83" t="s">
        <v>92</v>
      </c>
      <c r="B83" t="s">
        <v>93</v>
      </c>
      <c r="C83" t="s">
        <v>94</v>
      </c>
      <c r="D83" t="s">
        <v>95</v>
      </c>
      <c r="E83" t="s">
        <v>96</v>
      </c>
      <c r="F83" t="s">
        <v>155</v>
      </c>
      <c r="G83">
        <v>40</v>
      </c>
      <c r="H83" t="s">
        <v>56</v>
      </c>
      <c r="I83" t="s">
        <v>64</v>
      </c>
      <c r="J83" t="s">
        <v>50</v>
      </c>
      <c r="K83">
        <v>0</v>
      </c>
      <c r="L83">
        <v>0</v>
      </c>
      <c r="M83">
        <v>1</v>
      </c>
      <c r="N83" t="s">
        <v>73</v>
      </c>
      <c r="O83">
        <v>1</v>
      </c>
      <c r="P83">
        <v>0</v>
      </c>
      <c r="Q83">
        <v>1</v>
      </c>
      <c r="R83" t="s">
        <v>60</v>
      </c>
      <c r="S83">
        <v>0</v>
      </c>
      <c r="T83">
        <v>1</v>
      </c>
      <c r="U83">
        <v>1</v>
      </c>
      <c r="V83" t="s">
        <v>53</v>
      </c>
      <c r="W83">
        <v>0</v>
      </c>
      <c r="X83">
        <v>1</v>
      </c>
      <c r="Y83" t="s">
        <v>53</v>
      </c>
      <c r="Z83">
        <v>0</v>
      </c>
      <c r="AA83">
        <v>1</v>
      </c>
      <c r="AB83" t="s">
        <v>54</v>
      </c>
      <c r="AC83" t="s">
        <v>98</v>
      </c>
      <c r="AD83" t="s">
        <v>98</v>
      </c>
      <c r="AE83">
        <v>1</v>
      </c>
      <c r="AF83">
        <v>1</v>
      </c>
    </row>
    <row r="84" spans="1:32" x14ac:dyDescent="0.2">
      <c r="A84" t="s">
        <v>92</v>
      </c>
      <c r="B84" t="s">
        <v>93</v>
      </c>
      <c r="C84" t="s">
        <v>94</v>
      </c>
      <c r="D84" t="s">
        <v>95</v>
      </c>
      <c r="E84" t="s">
        <v>96</v>
      </c>
      <c r="F84" t="s">
        <v>156</v>
      </c>
      <c r="G84">
        <v>48</v>
      </c>
      <c r="H84" t="s">
        <v>48</v>
      </c>
      <c r="I84" t="s">
        <v>70</v>
      </c>
      <c r="J84" t="s">
        <v>50</v>
      </c>
      <c r="K84">
        <v>0</v>
      </c>
      <c r="L84">
        <v>0</v>
      </c>
      <c r="M84">
        <v>1</v>
      </c>
      <c r="N84" t="s">
        <v>65</v>
      </c>
      <c r="O84">
        <v>0</v>
      </c>
      <c r="P84">
        <v>1</v>
      </c>
      <c r="Q84">
        <v>1</v>
      </c>
      <c r="R84" t="s">
        <v>62</v>
      </c>
      <c r="S84">
        <v>1</v>
      </c>
      <c r="T84">
        <v>0</v>
      </c>
      <c r="U84">
        <v>1</v>
      </c>
      <c r="V84" t="s">
        <v>52</v>
      </c>
      <c r="W84">
        <v>1</v>
      </c>
      <c r="X84">
        <v>1</v>
      </c>
      <c r="Y84" t="s">
        <v>52</v>
      </c>
      <c r="Z84">
        <v>1</v>
      </c>
      <c r="AA84">
        <v>1</v>
      </c>
      <c r="AB84" t="s">
        <v>54</v>
      </c>
      <c r="AC84" t="s">
        <v>98</v>
      </c>
      <c r="AD84" t="s">
        <v>98</v>
      </c>
      <c r="AE84">
        <v>1</v>
      </c>
      <c r="AF84">
        <v>1</v>
      </c>
    </row>
    <row r="85" spans="1:32" x14ac:dyDescent="0.2">
      <c r="A85" t="s">
        <v>92</v>
      </c>
      <c r="B85" t="s">
        <v>93</v>
      </c>
      <c r="C85" t="s">
        <v>94</v>
      </c>
      <c r="D85" t="s">
        <v>95</v>
      </c>
      <c r="E85" t="s">
        <v>96</v>
      </c>
      <c r="F85" t="s">
        <v>157</v>
      </c>
      <c r="G85">
        <v>34</v>
      </c>
      <c r="H85" t="s">
        <v>56</v>
      </c>
      <c r="I85" t="s">
        <v>49</v>
      </c>
      <c r="J85" t="s">
        <v>50</v>
      </c>
      <c r="K85">
        <v>0</v>
      </c>
      <c r="L85">
        <v>0</v>
      </c>
      <c r="M85">
        <v>1</v>
      </c>
      <c r="N85" t="s">
        <v>65</v>
      </c>
      <c r="O85">
        <v>0</v>
      </c>
      <c r="P85">
        <v>1</v>
      </c>
      <c r="Q85">
        <v>1</v>
      </c>
      <c r="R85" t="s">
        <v>62</v>
      </c>
      <c r="S85">
        <v>1</v>
      </c>
      <c r="T85">
        <v>0</v>
      </c>
      <c r="U85">
        <v>1</v>
      </c>
      <c r="V85" t="s">
        <v>52</v>
      </c>
      <c r="W85">
        <v>1</v>
      </c>
      <c r="X85">
        <v>1</v>
      </c>
      <c r="Y85" t="s">
        <v>53</v>
      </c>
      <c r="Z85">
        <v>0</v>
      </c>
      <c r="AA85">
        <v>1</v>
      </c>
      <c r="AB85" t="s">
        <v>54</v>
      </c>
      <c r="AC85" t="s">
        <v>98</v>
      </c>
      <c r="AD85" t="s">
        <v>98</v>
      </c>
      <c r="AE85">
        <v>1</v>
      </c>
      <c r="AF85">
        <v>1</v>
      </c>
    </row>
    <row r="86" spans="1:32" x14ac:dyDescent="0.2">
      <c r="A86" t="s">
        <v>92</v>
      </c>
      <c r="B86" t="s">
        <v>93</v>
      </c>
      <c r="C86" t="s">
        <v>94</v>
      </c>
      <c r="D86" t="s">
        <v>112</v>
      </c>
      <c r="E86" t="s">
        <v>113</v>
      </c>
      <c r="F86" t="s">
        <v>158</v>
      </c>
      <c r="G86">
        <v>27</v>
      </c>
      <c r="H86" t="s">
        <v>48</v>
      </c>
      <c r="I86" t="s">
        <v>49</v>
      </c>
      <c r="J86" t="s">
        <v>50</v>
      </c>
      <c r="K86">
        <v>0</v>
      </c>
      <c r="L86">
        <v>0</v>
      </c>
      <c r="M86">
        <v>1</v>
      </c>
      <c r="N86" t="s">
        <v>73</v>
      </c>
      <c r="O86">
        <v>1</v>
      </c>
      <c r="P86">
        <v>0</v>
      </c>
      <c r="Q86">
        <v>1</v>
      </c>
      <c r="R86" t="s">
        <v>60</v>
      </c>
      <c r="S86">
        <v>0</v>
      </c>
      <c r="T86">
        <v>1</v>
      </c>
      <c r="U86">
        <v>1</v>
      </c>
      <c r="V86" t="s">
        <v>53</v>
      </c>
      <c r="W86">
        <v>0</v>
      </c>
      <c r="X86">
        <v>1</v>
      </c>
      <c r="Y86" t="s">
        <v>52</v>
      </c>
      <c r="Z86">
        <v>1</v>
      </c>
      <c r="AA86">
        <v>1</v>
      </c>
      <c r="AB86" t="s">
        <v>54</v>
      </c>
      <c r="AC86" t="s">
        <v>98</v>
      </c>
      <c r="AD86" t="s">
        <v>98</v>
      </c>
      <c r="AE86">
        <v>1</v>
      </c>
      <c r="AF86">
        <v>1</v>
      </c>
    </row>
    <row r="87" spans="1:32" x14ac:dyDescent="0.2">
      <c r="A87" t="s">
        <v>92</v>
      </c>
      <c r="B87" t="s">
        <v>93</v>
      </c>
      <c r="C87" t="s">
        <v>94</v>
      </c>
      <c r="D87" t="s">
        <v>112</v>
      </c>
      <c r="E87" t="s">
        <v>113</v>
      </c>
      <c r="F87" t="s">
        <v>159</v>
      </c>
      <c r="G87">
        <v>26</v>
      </c>
      <c r="H87" t="s">
        <v>48</v>
      </c>
      <c r="I87" t="s">
        <v>49</v>
      </c>
      <c r="J87" t="s">
        <v>50</v>
      </c>
      <c r="K87">
        <v>0</v>
      </c>
      <c r="L87">
        <v>0</v>
      </c>
      <c r="M87">
        <v>1</v>
      </c>
      <c r="N87" t="s">
        <v>50</v>
      </c>
      <c r="O87">
        <v>0</v>
      </c>
      <c r="P87">
        <v>0</v>
      </c>
      <c r="Q87">
        <v>1</v>
      </c>
      <c r="R87" t="s">
        <v>51</v>
      </c>
      <c r="S87">
        <v>0</v>
      </c>
      <c r="T87">
        <v>0</v>
      </c>
      <c r="U87">
        <v>1</v>
      </c>
      <c r="V87" t="s">
        <v>52</v>
      </c>
      <c r="W87">
        <v>1</v>
      </c>
      <c r="X87">
        <v>1</v>
      </c>
      <c r="Y87" t="s">
        <v>53</v>
      </c>
      <c r="Z87">
        <v>0</v>
      </c>
      <c r="AA87">
        <v>1</v>
      </c>
      <c r="AB87" t="s">
        <v>54</v>
      </c>
      <c r="AC87" t="s">
        <v>98</v>
      </c>
      <c r="AD87" t="s">
        <v>98</v>
      </c>
      <c r="AE87">
        <v>1</v>
      </c>
      <c r="AF87">
        <v>1</v>
      </c>
    </row>
    <row r="88" spans="1:32" x14ac:dyDescent="0.2">
      <c r="A88" t="s">
        <v>92</v>
      </c>
      <c r="B88" t="s">
        <v>93</v>
      </c>
      <c r="C88" t="s">
        <v>94</v>
      </c>
      <c r="D88" t="s">
        <v>95</v>
      </c>
      <c r="E88" t="s">
        <v>96</v>
      </c>
      <c r="F88" t="s">
        <v>160</v>
      </c>
      <c r="G88">
        <v>25</v>
      </c>
      <c r="H88" t="s">
        <v>48</v>
      </c>
      <c r="I88" t="s">
        <v>67</v>
      </c>
      <c r="J88" t="s">
        <v>50</v>
      </c>
      <c r="K88">
        <v>0</v>
      </c>
      <c r="L88">
        <v>0</v>
      </c>
      <c r="M88">
        <v>1</v>
      </c>
      <c r="N88" t="s">
        <v>65</v>
      </c>
      <c r="O88">
        <v>0</v>
      </c>
      <c r="P88">
        <v>1</v>
      </c>
      <c r="Q88">
        <v>1</v>
      </c>
      <c r="R88" t="s">
        <v>62</v>
      </c>
      <c r="S88">
        <v>1</v>
      </c>
      <c r="T88">
        <v>0</v>
      </c>
      <c r="U88">
        <v>1</v>
      </c>
      <c r="V88" t="s">
        <v>53</v>
      </c>
      <c r="W88">
        <v>0</v>
      </c>
      <c r="X88">
        <v>1</v>
      </c>
      <c r="Y88" t="s">
        <v>53</v>
      </c>
      <c r="Z88">
        <v>0</v>
      </c>
      <c r="AA88">
        <v>1</v>
      </c>
      <c r="AB88" t="s">
        <v>54</v>
      </c>
      <c r="AC88" t="s">
        <v>98</v>
      </c>
      <c r="AD88" t="s">
        <v>98</v>
      </c>
      <c r="AE88">
        <v>1</v>
      </c>
      <c r="AF88">
        <v>1</v>
      </c>
    </row>
    <row r="89" spans="1:32" x14ac:dyDescent="0.2">
      <c r="A89" t="s">
        <v>92</v>
      </c>
      <c r="B89" t="s">
        <v>93</v>
      </c>
      <c r="C89" t="s">
        <v>94</v>
      </c>
      <c r="D89" t="s">
        <v>112</v>
      </c>
      <c r="E89" t="s">
        <v>113</v>
      </c>
      <c r="F89" t="s">
        <v>161</v>
      </c>
      <c r="G89">
        <v>35</v>
      </c>
      <c r="H89" t="s">
        <v>48</v>
      </c>
      <c r="I89" t="s">
        <v>49</v>
      </c>
      <c r="J89" t="s">
        <v>50</v>
      </c>
      <c r="K89">
        <v>0</v>
      </c>
      <c r="L89">
        <v>0</v>
      </c>
      <c r="M89">
        <v>1</v>
      </c>
      <c r="N89" t="s">
        <v>65</v>
      </c>
      <c r="O89">
        <v>0</v>
      </c>
      <c r="P89">
        <v>1</v>
      </c>
      <c r="Q89">
        <v>1</v>
      </c>
      <c r="R89" t="s">
        <v>62</v>
      </c>
      <c r="S89">
        <v>1</v>
      </c>
      <c r="T89">
        <v>0</v>
      </c>
      <c r="U89">
        <v>1</v>
      </c>
      <c r="V89" t="s">
        <v>53</v>
      </c>
      <c r="W89">
        <v>0</v>
      </c>
      <c r="X89">
        <v>1</v>
      </c>
      <c r="Y89" t="s">
        <v>53</v>
      </c>
      <c r="Z89">
        <v>0</v>
      </c>
      <c r="AA89">
        <v>1</v>
      </c>
      <c r="AB89" t="s">
        <v>54</v>
      </c>
      <c r="AC89" t="s">
        <v>98</v>
      </c>
      <c r="AD89" t="s">
        <v>98</v>
      </c>
      <c r="AE89">
        <v>1</v>
      </c>
      <c r="AF89">
        <v>1</v>
      </c>
    </row>
    <row r="90" spans="1:32" x14ac:dyDescent="0.2">
      <c r="A90" t="s">
        <v>92</v>
      </c>
      <c r="B90" t="s">
        <v>93</v>
      </c>
      <c r="C90" t="s">
        <v>94</v>
      </c>
      <c r="D90" t="s">
        <v>95</v>
      </c>
      <c r="E90" t="s">
        <v>96</v>
      </c>
      <c r="F90" t="s">
        <v>162</v>
      </c>
      <c r="G90">
        <v>48</v>
      </c>
      <c r="H90" t="s">
        <v>48</v>
      </c>
      <c r="I90" t="s">
        <v>70</v>
      </c>
      <c r="J90" t="s">
        <v>50</v>
      </c>
      <c r="K90">
        <v>0</v>
      </c>
      <c r="L90">
        <v>0</v>
      </c>
      <c r="M90">
        <v>1</v>
      </c>
      <c r="N90" t="s">
        <v>65</v>
      </c>
      <c r="O90">
        <v>0</v>
      </c>
      <c r="P90">
        <v>1</v>
      </c>
      <c r="Q90">
        <v>1</v>
      </c>
      <c r="R90" t="s">
        <v>62</v>
      </c>
      <c r="S90">
        <v>1</v>
      </c>
      <c r="T90">
        <v>0</v>
      </c>
      <c r="U90">
        <v>1</v>
      </c>
      <c r="V90" t="s">
        <v>53</v>
      </c>
      <c r="W90">
        <v>0</v>
      </c>
      <c r="X90">
        <v>1</v>
      </c>
      <c r="Y90" t="s">
        <v>52</v>
      </c>
      <c r="Z90">
        <v>1</v>
      </c>
      <c r="AA90">
        <v>1</v>
      </c>
      <c r="AB90" t="s">
        <v>54</v>
      </c>
      <c r="AC90" t="s">
        <v>98</v>
      </c>
      <c r="AD90" t="s">
        <v>98</v>
      </c>
      <c r="AE90">
        <v>1</v>
      </c>
      <c r="AF90">
        <v>1</v>
      </c>
    </row>
    <row r="91" spans="1:32" x14ac:dyDescent="0.2">
      <c r="A91" t="s">
        <v>92</v>
      </c>
      <c r="B91" t="s">
        <v>93</v>
      </c>
      <c r="C91" t="s">
        <v>94</v>
      </c>
      <c r="D91" t="s">
        <v>95</v>
      </c>
      <c r="E91" t="s">
        <v>96</v>
      </c>
      <c r="F91" t="s">
        <v>163</v>
      </c>
      <c r="G91">
        <v>44</v>
      </c>
      <c r="H91" t="s">
        <v>48</v>
      </c>
      <c r="I91" t="s">
        <v>64</v>
      </c>
      <c r="J91" t="s">
        <v>50</v>
      </c>
      <c r="K91">
        <v>0</v>
      </c>
      <c r="L91">
        <v>0</v>
      </c>
      <c r="M91">
        <v>1</v>
      </c>
      <c r="N91" t="s">
        <v>50</v>
      </c>
      <c r="O91">
        <v>0</v>
      </c>
      <c r="P91">
        <v>0</v>
      </c>
      <c r="Q91">
        <v>1</v>
      </c>
      <c r="S91">
        <v>0</v>
      </c>
      <c r="T91">
        <v>0</v>
      </c>
      <c r="U91">
        <v>0</v>
      </c>
      <c r="V91" t="s">
        <v>53</v>
      </c>
      <c r="W91">
        <v>0</v>
      </c>
      <c r="X91">
        <v>1</v>
      </c>
      <c r="Y91" t="s">
        <v>52</v>
      </c>
      <c r="Z91">
        <v>1</v>
      </c>
      <c r="AA91">
        <v>1</v>
      </c>
      <c r="AB91" t="s">
        <v>54</v>
      </c>
      <c r="AC91" t="s">
        <v>98</v>
      </c>
      <c r="AD91" t="s">
        <v>98</v>
      </c>
      <c r="AE91">
        <v>1</v>
      </c>
      <c r="AF91">
        <v>1</v>
      </c>
    </row>
    <row r="92" spans="1:32" x14ac:dyDescent="0.2">
      <c r="A92" t="s">
        <v>92</v>
      </c>
      <c r="B92" t="s">
        <v>93</v>
      </c>
      <c r="C92" t="s">
        <v>94</v>
      </c>
      <c r="D92" t="s">
        <v>95</v>
      </c>
      <c r="E92" t="s">
        <v>96</v>
      </c>
      <c r="F92" t="s">
        <v>164</v>
      </c>
      <c r="G92">
        <v>48</v>
      </c>
      <c r="H92" t="s">
        <v>48</v>
      </c>
      <c r="I92" t="s">
        <v>70</v>
      </c>
      <c r="J92" t="s">
        <v>50</v>
      </c>
      <c r="K92">
        <v>0</v>
      </c>
      <c r="L92">
        <v>0</v>
      </c>
      <c r="M92">
        <v>1</v>
      </c>
      <c r="N92" t="s">
        <v>50</v>
      </c>
      <c r="O92">
        <v>0</v>
      </c>
      <c r="P92">
        <v>0</v>
      </c>
      <c r="Q92">
        <v>1</v>
      </c>
      <c r="R92" t="s">
        <v>60</v>
      </c>
      <c r="S92">
        <v>0</v>
      </c>
      <c r="T92">
        <v>1</v>
      </c>
      <c r="U92">
        <v>1</v>
      </c>
      <c r="V92" t="s">
        <v>53</v>
      </c>
      <c r="W92">
        <v>0</v>
      </c>
      <c r="X92">
        <v>1</v>
      </c>
      <c r="Y92" t="s">
        <v>53</v>
      </c>
      <c r="Z92">
        <v>0</v>
      </c>
      <c r="AA92">
        <v>1</v>
      </c>
      <c r="AB92" t="s">
        <v>54</v>
      </c>
      <c r="AC92" t="s">
        <v>98</v>
      </c>
      <c r="AD92" t="s">
        <v>98</v>
      </c>
      <c r="AE92">
        <v>1</v>
      </c>
      <c r="AF92">
        <v>1</v>
      </c>
    </row>
    <row r="93" spans="1:32" x14ac:dyDescent="0.2">
      <c r="A93" t="s">
        <v>92</v>
      </c>
      <c r="B93" t="s">
        <v>93</v>
      </c>
      <c r="C93" t="s">
        <v>94</v>
      </c>
      <c r="D93" t="s">
        <v>112</v>
      </c>
      <c r="I93" t="s">
        <v>85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S93">
        <v>0</v>
      </c>
      <c r="T93">
        <v>0</v>
      </c>
      <c r="U93">
        <v>0</v>
      </c>
      <c r="W93">
        <v>0</v>
      </c>
      <c r="X93">
        <v>0</v>
      </c>
      <c r="Y93" t="s">
        <v>91</v>
      </c>
      <c r="Z93">
        <v>0</v>
      </c>
      <c r="AA93">
        <v>0</v>
      </c>
      <c r="AB93" t="s">
        <v>91</v>
      </c>
      <c r="AE93">
        <v>0</v>
      </c>
      <c r="AF93">
        <v>0</v>
      </c>
    </row>
    <row r="94" spans="1:32" x14ac:dyDescent="0.2">
      <c r="A94" t="s">
        <v>92</v>
      </c>
      <c r="B94" t="s">
        <v>93</v>
      </c>
      <c r="C94" t="s">
        <v>94</v>
      </c>
      <c r="D94" t="s">
        <v>112</v>
      </c>
      <c r="F94" t="s">
        <v>165</v>
      </c>
      <c r="G94">
        <v>15</v>
      </c>
      <c r="I94" t="s">
        <v>67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S94">
        <v>0</v>
      </c>
      <c r="T94">
        <v>0</v>
      </c>
      <c r="U94">
        <v>0</v>
      </c>
      <c r="W94">
        <v>0</v>
      </c>
      <c r="X94">
        <v>0</v>
      </c>
      <c r="Y94" t="s">
        <v>91</v>
      </c>
      <c r="Z94">
        <v>0</v>
      </c>
      <c r="AA94">
        <v>0</v>
      </c>
      <c r="AB94" t="s">
        <v>91</v>
      </c>
      <c r="AE94">
        <v>0</v>
      </c>
      <c r="AF94">
        <v>0</v>
      </c>
    </row>
    <row r="95" spans="1:32" x14ac:dyDescent="0.2">
      <c r="A95" t="s">
        <v>92</v>
      </c>
      <c r="B95" t="s">
        <v>93</v>
      </c>
      <c r="C95" t="s">
        <v>94</v>
      </c>
      <c r="D95" t="s">
        <v>112</v>
      </c>
      <c r="F95" t="s">
        <v>42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S95">
        <v>0</v>
      </c>
      <c r="T95">
        <v>0</v>
      </c>
      <c r="U95">
        <v>0</v>
      </c>
      <c r="W95">
        <v>0</v>
      </c>
      <c r="X95">
        <v>0</v>
      </c>
      <c r="Y95" t="s">
        <v>91</v>
      </c>
      <c r="Z95">
        <v>0</v>
      </c>
      <c r="AA95">
        <v>0</v>
      </c>
      <c r="AB95" t="s">
        <v>91</v>
      </c>
      <c r="AE95">
        <v>0</v>
      </c>
      <c r="AF95">
        <v>0</v>
      </c>
    </row>
    <row r="96" spans="1:32" x14ac:dyDescent="0.2">
      <c r="A96" t="s">
        <v>92</v>
      </c>
      <c r="B96" t="s">
        <v>93</v>
      </c>
      <c r="C96" t="s">
        <v>94</v>
      </c>
      <c r="D96" t="s">
        <v>112</v>
      </c>
      <c r="F96" t="s">
        <v>166</v>
      </c>
      <c r="G96">
        <v>5</v>
      </c>
      <c r="I96" t="s">
        <v>67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S96">
        <v>0</v>
      </c>
      <c r="T96">
        <v>0</v>
      </c>
      <c r="U96">
        <v>0</v>
      </c>
      <c r="W96">
        <v>0</v>
      </c>
      <c r="X96">
        <v>0</v>
      </c>
      <c r="Y96" t="s">
        <v>91</v>
      </c>
      <c r="Z96">
        <v>0</v>
      </c>
      <c r="AA96">
        <v>0</v>
      </c>
      <c r="AB96" t="s">
        <v>91</v>
      </c>
      <c r="AE96">
        <v>0</v>
      </c>
      <c r="AF96">
        <v>0</v>
      </c>
    </row>
    <row r="97" spans="1:32" x14ac:dyDescent="0.2">
      <c r="A97" t="s">
        <v>92</v>
      </c>
      <c r="B97" t="s">
        <v>93</v>
      </c>
      <c r="C97" t="s">
        <v>94</v>
      </c>
      <c r="D97" t="s">
        <v>112</v>
      </c>
      <c r="I97" t="s">
        <v>85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S97">
        <v>0</v>
      </c>
      <c r="T97">
        <v>0</v>
      </c>
      <c r="U97">
        <v>0</v>
      </c>
      <c r="W97">
        <v>0</v>
      </c>
      <c r="X97">
        <v>0</v>
      </c>
      <c r="Y97" t="s">
        <v>91</v>
      </c>
      <c r="Z97">
        <v>0</v>
      </c>
      <c r="AA97">
        <v>0</v>
      </c>
      <c r="AB97" t="s">
        <v>91</v>
      </c>
      <c r="AE97">
        <v>0</v>
      </c>
      <c r="AF97">
        <v>0</v>
      </c>
    </row>
    <row r="98" spans="1:32" x14ac:dyDescent="0.2">
      <c r="A98" t="s">
        <v>92</v>
      </c>
      <c r="B98" t="s">
        <v>93</v>
      </c>
      <c r="C98" t="s">
        <v>94</v>
      </c>
      <c r="D98" t="s">
        <v>112</v>
      </c>
      <c r="I98" t="s">
        <v>85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S98">
        <v>0</v>
      </c>
      <c r="T98">
        <v>0</v>
      </c>
      <c r="U98">
        <v>0</v>
      </c>
      <c r="W98">
        <v>0</v>
      </c>
      <c r="X98">
        <v>0</v>
      </c>
      <c r="Y98" t="s">
        <v>91</v>
      </c>
      <c r="Z98">
        <v>0</v>
      </c>
      <c r="AA98">
        <v>0</v>
      </c>
      <c r="AB98" t="s">
        <v>91</v>
      </c>
      <c r="AE98">
        <v>0</v>
      </c>
      <c r="AF98">
        <v>0</v>
      </c>
    </row>
    <row r="99" spans="1:32" x14ac:dyDescent="0.2">
      <c r="A99" t="s">
        <v>92</v>
      </c>
      <c r="B99" t="s">
        <v>93</v>
      </c>
      <c r="C99" t="s">
        <v>94</v>
      </c>
      <c r="D99" t="s">
        <v>112</v>
      </c>
      <c r="I99" t="s">
        <v>85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S99">
        <v>0</v>
      </c>
      <c r="T99">
        <v>0</v>
      </c>
      <c r="U99">
        <v>0</v>
      </c>
      <c r="W99">
        <v>0</v>
      </c>
      <c r="X99">
        <v>0</v>
      </c>
      <c r="Y99" t="s">
        <v>91</v>
      </c>
      <c r="Z99">
        <v>0</v>
      </c>
      <c r="AA99">
        <v>0</v>
      </c>
      <c r="AB99" t="s">
        <v>91</v>
      </c>
      <c r="AE99">
        <v>0</v>
      </c>
      <c r="AF99">
        <v>0</v>
      </c>
    </row>
    <row r="100" spans="1:32" x14ac:dyDescent="0.2">
      <c r="A100" t="s">
        <v>92</v>
      </c>
      <c r="B100" t="s">
        <v>93</v>
      </c>
      <c r="C100" t="s">
        <v>94</v>
      </c>
      <c r="D100" t="s">
        <v>112</v>
      </c>
      <c r="I100" t="s">
        <v>85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  <c r="X100">
        <v>0</v>
      </c>
      <c r="Y100" t="s">
        <v>91</v>
      </c>
      <c r="Z100">
        <v>0</v>
      </c>
      <c r="AA100">
        <v>0</v>
      </c>
      <c r="AB100" t="s">
        <v>91</v>
      </c>
      <c r="AE100">
        <v>0</v>
      </c>
      <c r="AF100">
        <v>0</v>
      </c>
    </row>
    <row r="101" spans="1:32" x14ac:dyDescent="0.2">
      <c r="A101" t="s">
        <v>92</v>
      </c>
      <c r="B101" t="s">
        <v>167</v>
      </c>
      <c r="C101" t="s">
        <v>168</v>
      </c>
      <c r="D101" t="s">
        <v>112</v>
      </c>
      <c r="E101" t="s">
        <v>113</v>
      </c>
      <c r="F101" t="s">
        <v>169</v>
      </c>
      <c r="G101">
        <v>53</v>
      </c>
      <c r="H101" t="s">
        <v>48</v>
      </c>
      <c r="I101" t="s">
        <v>70</v>
      </c>
      <c r="J101" t="s">
        <v>50</v>
      </c>
      <c r="K101">
        <v>0</v>
      </c>
      <c r="L101">
        <v>0</v>
      </c>
      <c r="M101">
        <v>1</v>
      </c>
      <c r="N101" t="s">
        <v>73</v>
      </c>
      <c r="O101">
        <v>1</v>
      </c>
      <c r="P101">
        <v>0</v>
      </c>
      <c r="Q101">
        <v>1</v>
      </c>
      <c r="R101" t="s">
        <v>62</v>
      </c>
      <c r="S101">
        <v>1</v>
      </c>
      <c r="T101">
        <v>0</v>
      </c>
      <c r="U101">
        <v>1</v>
      </c>
      <c r="V101" t="s">
        <v>53</v>
      </c>
      <c r="W101">
        <v>0</v>
      </c>
      <c r="X101">
        <v>1</v>
      </c>
      <c r="Y101" t="s">
        <v>52</v>
      </c>
      <c r="Z101">
        <v>1</v>
      </c>
      <c r="AA101">
        <v>1</v>
      </c>
      <c r="AB101" t="s">
        <v>54</v>
      </c>
      <c r="AC101" t="s">
        <v>98</v>
      </c>
      <c r="AD101" t="s">
        <v>98</v>
      </c>
      <c r="AE101">
        <v>1</v>
      </c>
      <c r="AF101">
        <v>1</v>
      </c>
    </row>
    <row r="102" spans="1:32" x14ac:dyDescent="0.2">
      <c r="A102" t="s">
        <v>92</v>
      </c>
      <c r="B102" t="s">
        <v>167</v>
      </c>
      <c r="C102" t="s">
        <v>168</v>
      </c>
      <c r="D102" t="s">
        <v>95</v>
      </c>
      <c r="E102" t="s">
        <v>96</v>
      </c>
      <c r="F102" t="s">
        <v>170</v>
      </c>
      <c r="G102">
        <v>42</v>
      </c>
      <c r="H102" t="s">
        <v>48</v>
      </c>
      <c r="I102" t="s">
        <v>64</v>
      </c>
      <c r="J102" t="s">
        <v>50</v>
      </c>
      <c r="K102">
        <v>0</v>
      </c>
      <c r="L102">
        <v>0</v>
      </c>
      <c r="M102">
        <v>1</v>
      </c>
      <c r="N102" t="s">
        <v>65</v>
      </c>
      <c r="O102">
        <v>0</v>
      </c>
      <c r="P102">
        <v>1</v>
      </c>
      <c r="Q102">
        <v>1</v>
      </c>
      <c r="R102" t="s">
        <v>62</v>
      </c>
      <c r="S102">
        <v>1</v>
      </c>
      <c r="T102">
        <v>0</v>
      </c>
      <c r="U102">
        <v>1</v>
      </c>
      <c r="V102" t="s">
        <v>53</v>
      </c>
      <c r="W102">
        <v>0</v>
      </c>
      <c r="X102">
        <v>1</v>
      </c>
      <c r="Y102" t="s">
        <v>52</v>
      </c>
      <c r="Z102">
        <v>1</v>
      </c>
      <c r="AA102">
        <v>1</v>
      </c>
      <c r="AB102" t="s">
        <v>54</v>
      </c>
      <c r="AC102" t="s">
        <v>98</v>
      </c>
      <c r="AD102" t="s">
        <v>98</v>
      </c>
      <c r="AE102">
        <v>1</v>
      </c>
      <c r="AF102">
        <v>1</v>
      </c>
    </row>
    <row r="103" spans="1:32" x14ac:dyDescent="0.2">
      <c r="A103" t="s">
        <v>92</v>
      </c>
      <c r="B103" t="s">
        <v>167</v>
      </c>
      <c r="C103" t="s">
        <v>168</v>
      </c>
      <c r="D103" t="s">
        <v>95</v>
      </c>
      <c r="E103" t="s">
        <v>96</v>
      </c>
      <c r="F103" t="s">
        <v>171</v>
      </c>
      <c r="G103">
        <v>55</v>
      </c>
      <c r="H103" t="s">
        <v>48</v>
      </c>
      <c r="I103" t="s">
        <v>70</v>
      </c>
      <c r="J103" t="s">
        <v>144</v>
      </c>
      <c r="K103">
        <v>0</v>
      </c>
      <c r="L103">
        <v>1</v>
      </c>
      <c r="M103">
        <v>1</v>
      </c>
      <c r="N103" t="s">
        <v>73</v>
      </c>
      <c r="O103">
        <v>1</v>
      </c>
      <c r="P103">
        <v>0</v>
      </c>
      <c r="Q103">
        <v>1</v>
      </c>
      <c r="R103" t="s">
        <v>62</v>
      </c>
      <c r="S103">
        <v>1</v>
      </c>
      <c r="T103">
        <v>0</v>
      </c>
      <c r="U103">
        <v>1</v>
      </c>
      <c r="V103" t="s">
        <v>53</v>
      </c>
      <c r="W103">
        <v>0</v>
      </c>
      <c r="X103">
        <v>1</v>
      </c>
      <c r="Y103" t="s">
        <v>52</v>
      </c>
      <c r="Z103">
        <v>1</v>
      </c>
      <c r="AA103">
        <v>1</v>
      </c>
      <c r="AB103" t="s">
        <v>54</v>
      </c>
      <c r="AC103" t="s">
        <v>98</v>
      </c>
      <c r="AD103" t="s">
        <v>98</v>
      </c>
      <c r="AE103">
        <v>1</v>
      </c>
      <c r="AF103">
        <v>1</v>
      </c>
    </row>
    <row r="104" spans="1:32" x14ac:dyDescent="0.2">
      <c r="A104" t="s">
        <v>92</v>
      </c>
      <c r="B104" t="s">
        <v>167</v>
      </c>
      <c r="C104" t="s">
        <v>168</v>
      </c>
      <c r="D104" t="s">
        <v>95</v>
      </c>
      <c r="E104" t="s">
        <v>96</v>
      </c>
      <c r="F104" t="s">
        <v>172</v>
      </c>
      <c r="G104">
        <v>36</v>
      </c>
      <c r="H104" t="s">
        <v>48</v>
      </c>
      <c r="I104" t="s">
        <v>64</v>
      </c>
      <c r="J104" t="s">
        <v>144</v>
      </c>
      <c r="K104">
        <v>0</v>
      </c>
      <c r="L104">
        <v>1</v>
      </c>
      <c r="M104">
        <v>1</v>
      </c>
      <c r="N104" t="s">
        <v>65</v>
      </c>
      <c r="O104">
        <v>0</v>
      </c>
      <c r="P104">
        <v>1</v>
      </c>
      <c r="Q104">
        <v>1</v>
      </c>
      <c r="R104" t="s">
        <v>60</v>
      </c>
      <c r="S104">
        <v>0</v>
      </c>
      <c r="T104">
        <v>1</v>
      </c>
      <c r="U104">
        <v>1</v>
      </c>
      <c r="V104" t="s">
        <v>53</v>
      </c>
      <c r="W104">
        <v>0</v>
      </c>
      <c r="X104">
        <v>1</v>
      </c>
      <c r="Y104" t="s">
        <v>53</v>
      </c>
      <c r="Z104">
        <v>0</v>
      </c>
      <c r="AA104">
        <v>1</v>
      </c>
      <c r="AB104" t="s">
        <v>54</v>
      </c>
      <c r="AC104" t="s">
        <v>98</v>
      </c>
      <c r="AD104" t="s">
        <v>98</v>
      </c>
      <c r="AE104">
        <v>1</v>
      </c>
      <c r="AF104">
        <v>1</v>
      </c>
    </row>
    <row r="105" spans="1:32" x14ac:dyDescent="0.2">
      <c r="A105" t="s">
        <v>92</v>
      </c>
      <c r="B105" t="s">
        <v>167</v>
      </c>
      <c r="C105" t="s">
        <v>168</v>
      </c>
      <c r="D105" t="s">
        <v>95</v>
      </c>
      <c r="E105" t="s">
        <v>96</v>
      </c>
      <c r="F105" t="s">
        <v>173</v>
      </c>
      <c r="G105">
        <v>40</v>
      </c>
      <c r="H105" t="s">
        <v>48</v>
      </c>
      <c r="I105" t="s">
        <v>64</v>
      </c>
      <c r="J105" t="s">
        <v>144</v>
      </c>
      <c r="K105">
        <v>0</v>
      </c>
      <c r="L105">
        <v>1</v>
      </c>
      <c r="M105">
        <v>1</v>
      </c>
      <c r="O105">
        <v>0</v>
      </c>
      <c r="P105">
        <v>0</v>
      </c>
      <c r="Q105">
        <v>0</v>
      </c>
      <c r="R105" t="s">
        <v>62</v>
      </c>
      <c r="S105">
        <v>1</v>
      </c>
      <c r="T105">
        <v>0</v>
      </c>
      <c r="U105">
        <v>1</v>
      </c>
      <c r="V105" t="s">
        <v>53</v>
      </c>
      <c r="W105">
        <v>0</v>
      </c>
      <c r="X105">
        <v>1</v>
      </c>
      <c r="Y105" t="s">
        <v>52</v>
      </c>
      <c r="Z105">
        <v>1</v>
      </c>
      <c r="AA105">
        <v>1</v>
      </c>
      <c r="AB105" t="s">
        <v>54</v>
      </c>
      <c r="AC105" t="s">
        <v>98</v>
      </c>
      <c r="AD105" t="s">
        <v>98</v>
      </c>
      <c r="AE105">
        <v>1</v>
      </c>
      <c r="AF105">
        <v>1</v>
      </c>
    </row>
    <row r="106" spans="1:32" x14ac:dyDescent="0.2">
      <c r="A106" t="s">
        <v>92</v>
      </c>
      <c r="B106" t="s">
        <v>167</v>
      </c>
      <c r="C106" t="s">
        <v>168</v>
      </c>
      <c r="D106" t="s">
        <v>95</v>
      </c>
      <c r="E106" t="s">
        <v>96</v>
      </c>
      <c r="F106" t="s">
        <v>174</v>
      </c>
      <c r="G106">
        <v>55</v>
      </c>
      <c r="H106" t="s">
        <v>48</v>
      </c>
      <c r="I106" t="s">
        <v>70</v>
      </c>
      <c r="J106" t="s">
        <v>144</v>
      </c>
      <c r="K106">
        <v>0</v>
      </c>
      <c r="L106">
        <v>1</v>
      </c>
      <c r="M106">
        <v>1</v>
      </c>
      <c r="N106" t="s">
        <v>73</v>
      </c>
      <c r="O106">
        <v>1</v>
      </c>
      <c r="P106">
        <v>0</v>
      </c>
      <c r="Q106">
        <v>1</v>
      </c>
      <c r="R106" t="s">
        <v>51</v>
      </c>
      <c r="S106">
        <v>0</v>
      </c>
      <c r="T106">
        <v>0</v>
      </c>
      <c r="U106">
        <v>1</v>
      </c>
      <c r="V106" t="s">
        <v>53</v>
      </c>
      <c r="W106">
        <v>0</v>
      </c>
      <c r="X106">
        <v>1</v>
      </c>
      <c r="Y106" t="s">
        <v>52</v>
      </c>
      <c r="Z106">
        <v>1</v>
      </c>
      <c r="AA106">
        <v>1</v>
      </c>
      <c r="AB106" t="s">
        <v>54</v>
      </c>
      <c r="AC106" t="s">
        <v>98</v>
      </c>
      <c r="AD106" t="s">
        <v>98</v>
      </c>
      <c r="AE106">
        <v>1</v>
      </c>
      <c r="AF106">
        <v>1</v>
      </c>
    </row>
    <row r="107" spans="1:32" x14ac:dyDescent="0.2">
      <c r="A107" t="s">
        <v>92</v>
      </c>
      <c r="B107" t="s">
        <v>167</v>
      </c>
      <c r="C107" t="s">
        <v>168</v>
      </c>
      <c r="D107" t="s">
        <v>95</v>
      </c>
      <c r="E107" t="s">
        <v>96</v>
      </c>
      <c r="F107" t="s">
        <v>175</v>
      </c>
      <c r="G107">
        <v>43</v>
      </c>
      <c r="H107" t="s">
        <v>56</v>
      </c>
      <c r="I107" t="s">
        <v>64</v>
      </c>
      <c r="J107" t="s">
        <v>59</v>
      </c>
      <c r="K107">
        <v>1</v>
      </c>
      <c r="L107">
        <v>0</v>
      </c>
      <c r="M107">
        <v>1</v>
      </c>
      <c r="N107" t="s">
        <v>65</v>
      </c>
      <c r="O107">
        <v>0</v>
      </c>
      <c r="P107">
        <v>1</v>
      </c>
      <c r="Q107">
        <v>1</v>
      </c>
      <c r="R107" t="s">
        <v>51</v>
      </c>
      <c r="S107">
        <v>0</v>
      </c>
      <c r="T107">
        <v>0</v>
      </c>
      <c r="U107">
        <v>1</v>
      </c>
      <c r="V107" t="s">
        <v>53</v>
      </c>
      <c r="W107">
        <v>0</v>
      </c>
      <c r="X107">
        <v>1</v>
      </c>
      <c r="Y107" t="s">
        <v>52</v>
      </c>
      <c r="Z107">
        <v>1</v>
      </c>
      <c r="AA107">
        <v>1</v>
      </c>
      <c r="AB107" t="s">
        <v>54</v>
      </c>
      <c r="AC107" t="s">
        <v>98</v>
      </c>
      <c r="AD107" t="s">
        <v>98</v>
      </c>
      <c r="AE107">
        <v>1</v>
      </c>
      <c r="AF107">
        <v>1</v>
      </c>
    </row>
    <row r="108" spans="1:32" x14ac:dyDescent="0.2">
      <c r="A108" t="s">
        <v>92</v>
      </c>
      <c r="B108" t="s">
        <v>167</v>
      </c>
      <c r="C108" t="s">
        <v>168</v>
      </c>
      <c r="D108" t="s">
        <v>95</v>
      </c>
      <c r="E108" t="s">
        <v>96</v>
      </c>
      <c r="F108" t="s">
        <v>176</v>
      </c>
      <c r="G108">
        <v>47</v>
      </c>
      <c r="H108" t="s">
        <v>56</v>
      </c>
      <c r="I108" t="s">
        <v>70</v>
      </c>
      <c r="J108" t="s">
        <v>144</v>
      </c>
      <c r="K108">
        <v>0</v>
      </c>
      <c r="L108">
        <v>1</v>
      </c>
      <c r="M108">
        <v>1</v>
      </c>
      <c r="N108" t="s">
        <v>65</v>
      </c>
      <c r="O108">
        <v>0</v>
      </c>
      <c r="P108">
        <v>1</v>
      </c>
      <c r="Q108">
        <v>1</v>
      </c>
      <c r="R108" t="s">
        <v>60</v>
      </c>
      <c r="S108">
        <v>0</v>
      </c>
      <c r="T108">
        <v>1</v>
      </c>
      <c r="U108">
        <v>1</v>
      </c>
      <c r="V108" t="s">
        <v>53</v>
      </c>
      <c r="W108">
        <v>0</v>
      </c>
      <c r="X108">
        <v>1</v>
      </c>
      <c r="Y108" t="s">
        <v>52</v>
      </c>
      <c r="Z108">
        <v>1</v>
      </c>
      <c r="AA108">
        <v>1</v>
      </c>
      <c r="AB108" t="s">
        <v>54</v>
      </c>
      <c r="AC108" t="s">
        <v>98</v>
      </c>
      <c r="AD108" t="s">
        <v>98</v>
      </c>
      <c r="AE108">
        <v>1</v>
      </c>
      <c r="AF108">
        <v>1</v>
      </c>
    </row>
    <row r="109" spans="1:32" x14ac:dyDescent="0.2">
      <c r="A109" t="s">
        <v>92</v>
      </c>
      <c r="B109" t="s">
        <v>167</v>
      </c>
      <c r="C109" t="s">
        <v>168</v>
      </c>
      <c r="D109" t="s">
        <v>95</v>
      </c>
      <c r="E109" t="s">
        <v>96</v>
      </c>
      <c r="F109" t="s">
        <v>177</v>
      </c>
      <c r="G109">
        <v>35</v>
      </c>
      <c r="H109" t="s">
        <v>56</v>
      </c>
      <c r="I109" t="s">
        <v>49</v>
      </c>
      <c r="J109" t="s">
        <v>50</v>
      </c>
      <c r="K109">
        <v>0</v>
      </c>
      <c r="L109">
        <v>0</v>
      </c>
      <c r="M109">
        <v>1</v>
      </c>
      <c r="O109">
        <v>0</v>
      </c>
      <c r="P109">
        <v>0</v>
      </c>
      <c r="Q109">
        <v>0</v>
      </c>
      <c r="S109">
        <v>0</v>
      </c>
      <c r="T109">
        <v>0</v>
      </c>
      <c r="U109">
        <v>0</v>
      </c>
      <c r="V109" t="s">
        <v>52</v>
      </c>
      <c r="W109">
        <v>1</v>
      </c>
      <c r="X109">
        <v>1</v>
      </c>
      <c r="Y109" t="s">
        <v>53</v>
      </c>
      <c r="Z109">
        <v>0</v>
      </c>
      <c r="AA109">
        <v>1</v>
      </c>
      <c r="AB109" t="s">
        <v>54</v>
      </c>
      <c r="AC109" t="s">
        <v>98</v>
      </c>
      <c r="AD109" t="s">
        <v>98</v>
      </c>
      <c r="AE109">
        <v>1</v>
      </c>
      <c r="AF109">
        <v>1</v>
      </c>
    </row>
    <row r="110" spans="1:32" x14ac:dyDescent="0.2">
      <c r="A110" t="s">
        <v>92</v>
      </c>
      <c r="B110" t="s">
        <v>167</v>
      </c>
      <c r="C110" t="s">
        <v>168</v>
      </c>
      <c r="D110" t="s">
        <v>95</v>
      </c>
      <c r="E110" t="s">
        <v>96</v>
      </c>
      <c r="F110" t="s">
        <v>178</v>
      </c>
      <c r="G110">
        <v>30</v>
      </c>
      <c r="H110" t="s">
        <v>48</v>
      </c>
      <c r="I110" t="s">
        <v>49</v>
      </c>
      <c r="J110" t="s">
        <v>144</v>
      </c>
      <c r="K110">
        <v>0</v>
      </c>
      <c r="L110">
        <v>1</v>
      </c>
      <c r="M110">
        <v>1</v>
      </c>
      <c r="N110" t="s">
        <v>65</v>
      </c>
      <c r="O110">
        <v>0</v>
      </c>
      <c r="P110">
        <v>1</v>
      </c>
      <c r="Q110">
        <v>1</v>
      </c>
      <c r="R110" t="s">
        <v>60</v>
      </c>
      <c r="S110">
        <v>0</v>
      </c>
      <c r="T110">
        <v>1</v>
      </c>
      <c r="U110">
        <v>1</v>
      </c>
      <c r="V110" t="s">
        <v>52</v>
      </c>
      <c r="W110">
        <v>1</v>
      </c>
      <c r="X110">
        <v>1</v>
      </c>
      <c r="Y110" t="s">
        <v>53</v>
      </c>
      <c r="Z110">
        <v>0</v>
      </c>
      <c r="AA110">
        <v>1</v>
      </c>
      <c r="AB110" t="s">
        <v>54</v>
      </c>
      <c r="AC110" t="s">
        <v>98</v>
      </c>
      <c r="AD110" t="s">
        <v>98</v>
      </c>
      <c r="AE110">
        <v>1</v>
      </c>
      <c r="AF110">
        <v>1</v>
      </c>
    </row>
    <row r="111" spans="1:32" x14ac:dyDescent="0.2">
      <c r="A111" t="s">
        <v>92</v>
      </c>
      <c r="B111" t="s">
        <v>167</v>
      </c>
      <c r="C111" t="s">
        <v>168</v>
      </c>
      <c r="D111" t="s">
        <v>95</v>
      </c>
      <c r="E111" t="s">
        <v>96</v>
      </c>
      <c r="F111" t="s">
        <v>179</v>
      </c>
      <c r="G111">
        <v>43</v>
      </c>
      <c r="H111" t="s">
        <v>56</v>
      </c>
      <c r="I111" t="s">
        <v>64</v>
      </c>
      <c r="J111" t="s">
        <v>59</v>
      </c>
      <c r="K111">
        <v>1</v>
      </c>
      <c r="L111">
        <v>0</v>
      </c>
      <c r="M111">
        <v>1</v>
      </c>
      <c r="N111" t="s">
        <v>65</v>
      </c>
      <c r="O111">
        <v>0</v>
      </c>
      <c r="P111">
        <v>1</v>
      </c>
      <c r="Q111">
        <v>1</v>
      </c>
      <c r="R111" t="s">
        <v>62</v>
      </c>
      <c r="S111">
        <v>1</v>
      </c>
      <c r="T111">
        <v>0</v>
      </c>
      <c r="U111">
        <v>1</v>
      </c>
      <c r="V111" t="s">
        <v>53</v>
      </c>
      <c r="W111">
        <v>0</v>
      </c>
      <c r="X111">
        <v>1</v>
      </c>
      <c r="Y111" t="s">
        <v>53</v>
      </c>
      <c r="Z111">
        <v>0</v>
      </c>
      <c r="AA111">
        <v>1</v>
      </c>
      <c r="AB111" t="s">
        <v>54</v>
      </c>
      <c r="AC111" t="s">
        <v>98</v>
      </c>
      <c r="AD111" t="s">
        <v>98</v>
      </c>
      <c r="AE111">
        <v>1</v>
      </c>
      <c r="AF111">
        <v>1</v>
      </c>
    </row>
    <row r="112" spans="1:32" x14ac:dyDescent="0.2">
      <c r="A112" t="s">
        <v>92</v>
      </c>
      <c r="B112" t="s">
        <v>167</v>
      </c>
      <c r="C112" t="s">
        <v>168</v>
      </c>
      <c r="D112" t="s">
        <v>95</v>
      </c>
      <c r="E112" t="s">
        <v>96</v>
      </c>
      <c r="F112" t="s">
        <v>180</v>
      </c>
      <c r="G112">
        <v>53</v>
      </c>
      <c r="H112" t="s">
        <v>56</v>
      </c>
      <c r="I112" t="s">
        <v>70</v>
      </c>
      <c r="J112" t="s">
        <v>144</v>
      </c>
      <c r="K112">
        <v>0</v>
      </c>
      <c r="L112">
        <v>1</v>
      </c>
      <c r="M112">
        <v>1</v>
      </c>
      <c r="N112" t="s">
        <v>65</v>
      </c>
      <c r="O112">
        <v>0</v>
      </c>
      <c r="P112">
        <v>1</v>
      </c>
      <c r="Q112">
        <v>1</v>
      </c>
      <c r="R112" t="s">
        <v>60</v>
      </c>
      <c r="S112">
        <v>0</v>
      </c>
      <c r="T112">
        <v>1</v>
      </c>
      <c r="U112">
        <v>1</v>
      </c>
      <c r="V112" t="s">
        <v>53</v>
      </c>
      <c r="W112">
        <v>0</v>
      </c>
      <c r="X112">
        <v>1</v>
      </c>
      <c r="Y112" t="s">
        <v>53</v>
      </c>
      <c r="Z112">
        <v>0</v>
      </c>
      <c r="AA112">
        <v>1</v>
      </c>
      <c r="AB112" t="s">
        <v>54</v>
      </c>
      <c r="AC112" t="s">
        <v>98</v>
      </c>
      <c r="AD112" t="s">
        <v>98</v>
      </c>
      <c r="AE112">
        <v>1</v>
      </c>
      <c r="AF112">
        <v>1</v>
      </c>
    </row>
    <row r="113" spans="1:32" x14ac:dyDescent="0.2">
      <c r="A113" t="s">
        <v>92</v>
      </c>
      <c r="B113" t="s">
        <v>167</v>
      </c>
      <c r="C113" t="s">
        <v>168</v>
      </c>
      <c r="D113" t="s">
        <v>95</v>
      </c>
      <c r="E113" t="s">
        <v>96</v>
      </c>
      <c r="F113" t="s">
        <v>181</v>
      </c>
      <c r="G113">
        <v>32</v>
      </c>
      <c r="H113" t="s">
        <v>48</v>
      </c>
      <c r="I113" t="s">
        <v>49</v>
      </c>
      <c r="J113" t="s">
        <v>50</v>
      </c>
      <c r="K113">
        <v>0</v>
      </c>
      <c r="L113">
        <v>0</v>
      </c>
      <c r="M113">
        <v>1</v>
      </c>
      <c r="N113" t="s">
        <v>65</v>
      </c>
      <c r="O113">
        <v>0</v>
      </c>
      <c r="P113">
        <v>1</v>
      </c>
      <c r="Q113">
        <v>1</v>
      </c>
      <c r="R113" t="s">
        <v>60</v>
      </c>
      <c r="S113">
        <v>0</v>
      </c>
      <c r="T113">
        <v>1</v>
      </c>
      <c r="U113">
        <v>1</v>
      </c>
      <c r="V113" t="s">
        <v>53</v>
      </c>
      <c r="W113">
        <v>0</v>
      </c>
      <c r="X113">
        <v>1</v>
      </c>
      <c r="Y113" t="s">
        <v>53</v>
      </c>
      <c r="Z113">
        <v>0</v>
      </c>
      <c r="AA113">
        <v>1</v>
      </c>
      <c r="AB113" t="s">
        <v>54</v>
      </c>
      <c r="AC113" t="s">
        <v>98</v>
      </c>
      <c r="AD113" t="s">
        <v>98</v>
      </c>
      <c r="AE113">
        <v>1</v>
      </c>
      <c r="AF113">
        <v>1</v>
      </c>
    </row>
    <row r="114" spans="1:32" x14ac:dyDescent="0.2">
      <c r="A114" t="s">
        <v>92</v>
      </c>
      <c r="B114" t="s">
        <v>167</v>
      </c>
      <c r="C114" t="s">
        <v>168</v>
      </c>
      <c r="D114" t="s">
        <v>95</v>
      </c>
      <c r="E114" t="s">
        <v>96</v>
      </c>
      <c r="F114" t="s">
        <v>182</v>
      </c>
      <c r="G114">
        <v>46</v>
      </c>
      <c r="H114" t="s">
        <v>48</v>
      </c>
      <c r="I114" t="s">
        <v>70</v>
      </c>
      <c r="J114" t="s">
        <v>50</v>
      </c>
      <c r="K114">
        <v>0</v>
      </c>
      <c r="L114">
        <v>0</v>
      </c>
      <c r="M114">
        <v>1</v>
      </c>
      <c r="N114" t="s">
        <v>65</v>
      </c>
      <c r="O114">
        <v>0</v>
      </c>
      <c r="P114">
        <v>1</v>
      </c>
      <c r="Q114">
        <v>1</v>
      </c>
      <c r="R114" t="s">
        <v>62</v>
      </c>
      <c r="S114">
        <v>1</v>
      </c>
      <c r="T114">
        <v>0</v>
      </c>
      <c r="U114">
        <v>1</v>
      </c>
      <c r="V114" t="s">
        <v>53</v>
      </c>
      <c r="W114">
        <v>0</v>
      </c>
      <c r="X114">
        <v>1</v>
      </c>
      <c r="Y114" t="s">
        <v>53</v>
      </c>
      <c r="Z114">
        <v>0</v>
      </c>
      <c r="AA114">
        <v>1</v>
      </c>
      <c r="AB114" t="s">
        <v>54</v>
      </c>
      <c r="AC114" t="s">
        <v>98</v>
      </c>
      <c r="AD114" t="s">
        <v>98</v>
      </c>
      <c r="AE114">
        <v>1</v>
      </c>
      <c r="AF114">
        <v>1</v>
      </c>
    </row>
    <row r="115" spans="1:32" x14ac:dyDescent="0.2">
      <c r="A115" t="s">
        <v>92</v>
      </c>
      <c r="B115" t="s">
        <v>167</v>
      </c>
      <c r="C115" t="s">
        <v>168</v>
      </c>
      <c r="D115" t="s">
        <v>95</v>
      </c>
      <c r="E115" t="s">
        <v>96</v>
      </c>
      <c r="F115" t="s">
        <v>183</v>
      </c>
      <c r="G115">
        <v>60</v>
      </c>
      <c r="H115" t="s">
        <v>56</v>
      </c>
      <c r="I115" t="s">
        <v>85</v>
      </c>
      <c r="J115" t="s">
        <v>144</v>
      </c>
      <c r="K115">
        <v>0</v>
      </c>
      <c r="L115">
        <v>1</v>
      </c>
      <c r="M115">
        <v>1</v>
      </c>
      <c r="N115" t="s">
        <v>73</v>
      </c>
      <c r="O115">
        <v>1</v>
      </c>
      <c r="P115">
        <v>0</v>
      </c>
      <c r="Q115">
        <v>1</v>
      </c>
      <c r="R115" t="s">
        <v>51</v>
      </c>
      <c r="S115">
        <v>0</v>
      </c>
      <c r="T115">
        <v>0</v>
      </c>
      <c r="U115">
        <v>1</v>
      </c>
      <c r="V115" t="s">
        <v>53</v>
      </c>
      <c r="W115">
        <v>0</v>
      </c>
      <c r="X115">
        <v>1</v>
      </c>
      <c r="Y115" t="s">
        <v>52</v>
      </c>
      <c r="Z115">
        <v>1</v>
      </c>
      <c r="AA115">
        <v>1</v>
      </c>
      <c r="AB115" t="s">
        <v>54</v>
      </c>
      <c r="AC115" t="s">
        <v>98</v>
      </c>
      <c r="AD115" t="s">
        <v>98</v>
      </c>
      <c r="AE115">
        <v>1</v>
      </c>
      <c r="AF115">
        <v>1</v>
      </c>
    </row>
    <row r="116" spans="1:32" x14ac:dyDescent="0.2">
      <c r="A116" t="s">
        <v>92</v>
      </c>
      <c r="B116" t="s">
        <v>167</v>
      </c>
      <c r="C116" t="s">
        <v>168</v>
      </c>
      <c r="D116" t="s">
        <v>95</v>
      </c>
      <c r="E116" t="s">
        <v>96</v>
      </c>
      <c r="F116" t="s">
        <v>184</v>
      </c>
      <c r="G116">
        <v>31</v>
      </c>
      <c r="H116" t="s">
        <v>48</v>
      </c>
      <c r="I116" t="s">
        <v>49</v>
      </c>
      <c r="J116" t="s">
        <v>144</v>
      </c>
      <c r="K116">
        <v>0</v>
      </c>
      <c r="L116">
        <v>1</v>
      </c>
      <c r="M116">
        <v>1</v>
      </c>
      <c r="N116" t="s">
        <v>73</v>
      </c>
      <c r="O116">
        <v>1</v>
      </c>
      <c r="P116">
        <v>0</v>
      </c>
      <c r="Q116">
        <v>1</v>
      </c>
      <c r="R116" t="s">
        <v>60</v>
      </c>
      <c r="S116">
        <v>0</v>
      </c>
      <c r="T116">
        <v>1</v>
      </c>
      <c r="U116">
        <v>1</v>
      </c>
      <c r="V116" t="s">
        <v>53</v>
      </c>
      <c r="W116">
        <v>0</v>
      </c>
      <c r="X116">
        <v>1</v>
      </c>
      <c r="Y116" t="s">
        <v>52</v>
      </c>
      <c r="Z116">
        <v>1</v>
      </c>
      <c r="AA116">
        <v>1</v>
      </c>
      <c r="AB116" t="s">
        <v>54</v>
      </c>
      <c r="AC116" t="s">
        <v>98</v>
      </c>
      <c r="AD116" t="s">
        <v>98</v>
      </c>
      <c r="AE116">
        <v>1</v>
      </c>
      <c r="AF116">
        <v>1</v>
      </c>
    </row>
    <row r="117" spans="1:32" x14ac:dyDescent="0.2">
      <c r="A117" t="s">
        <v>92</v>
      </c>
      <c r="B117" t="s">
        <v>167</v>
      </c>
      <c r="C117" t="s">
        <v>168</v>
      </c>
      <c r="D117" t="s">
        <v>95</v>
      </c>
      <c r="E117" t="s">
        <v>96</v>
      </c>
      <c r="F117" t="s">
        <v>185</v>
      </c>
      <c r="G117">
        <v>44</v>
      </c>
      <c r="H117" t="s">
        <v>48</v>
      </c>
      <c r="I117" t="s">
        <v>64</v>
      </c>
      <c r="J117" t="s">
        <v>50</v>
      </c>
      <c r="K117">
        <v>0</v>
      </c>
      <c r="L117">
        <v>0</v>
      </c>
      <c r="M117">
        <v>1</v>
      </c>
      <c r="N117" t="s">
        <v>65</v>
      </c>
      <c r="O117">
        <v>0</v>
      </c>
      <c r="P117">
        <v>1</v>
      </c>
      <c r="Q117">
        <v>1</v>
      </c>
      <c r="R117" t="s">
        <v>62</v>
      </c>
      <c r="S117">
        <v>1</v>
      </c>
      <c r="T117">
        <v>0</v>
      </c>
      <c r="U117">
        <v>1</v>
      </c>
      <c r="V117" t="s">
        <v>53</v>
      </c>
      <c r="W117">
        <v>0</v>
      </c>
      <c r="X117">
        <v>1</v>
      </c>
      <c r="Y117" t="s">
        <v>53</v>
      </c>
      <c r="Z117">
        <v>0</v>
      </c>
      <c r="AA117">
        <v>1</v>
      </c>
      <c r="AB117" t="s">
        <v>54</v>
      </c>
      <c r="AC117" t="s">
        <v>98</v>
      </c>
      <c r="AD117" t="s">
        <v>98</v>
      </c>
      <c r="AE117">
        <v>1</v>
      </c>
      <c r="AF117">
        <v>1</v>
      </c>
    </row>
    <row r="118" spans="1:32" x14ac:dyDescent="0.2">
      <c r="A118" t="s">
        <v>92</v>
      </c>
      <c r="B118" t="s">
        <v>167</v>
      </c>
      <c r="C118" t="s">
        <v>168</v>
      </c>
      <c r="D118" t="s">
        <v>95</v>
      </c>
      <c r="E118" t="s">
        <v>96</v>
      </c>
      <c r="F118" t="s">
        <v>186</v>
      </c>
      <c r="G118">
        <v>51</v>
      </c>
      <c r="H118" t="s">
        <v>56</v>
      </c>
      <c r="I118" t="s">
        <v>70</v>
      </c>
      <c r="J118" t="s">
        <v>50</v>
      </c>
      <c r="K118">
        <v>0</v>
      </c>
      <c r="L118">
        <v>0</v>
      </c>
      <c r="M118">
        <v>1</v>
      </c>
      <c r="N118" t="s">
        <v>73</v>
      </c>
      <c r="O118">
        <v>1</v>
      </c>
      <c r="P118">
        <v>0</v>
      </c>
      <c r="Q118">
        <v>1</v>
      </c>
      <c r="R118" t="s">
        <v>60</v>
      </c>
      <c r="S118">
        <v>0</v>
      </c>
      <c r="T118">
        <v>1</v>
      </c>
      <c r="U118">
        <v>1</v>
      </c>
      <c r="V118" t="s">
        <v>52</v>
      </c>
      <c r="W118">
        <v>1</v>
      </c>
      <c r="X118">
        <v>1</v>
      </c>
      <c r="Y118" t="s">
        <v>52</v>
      </c>
      <c r="Z118">
        <v>1</v>
      </c>
      <c r="AA118">
        <v>1</v>
      </c>
      <c r="AB118" t="s">
        <v>54</v>
      </c>
      <c r="AC118" t="s">
        <v>98</v>
      </c>
      <c r="AD118" t="s">
        <v>98</v>
      </c>
      <c r="AE118">
        <v>1</v>
      </c>
      <c r="AF118">
        <v>1</v>
      </c>
    </row>
    <row r="119" spans="1:32" x14ac:dyDescent="0.2">
      <c r="A119" t="s">
        <v>92</v>
      </c>
      <c r="B119" t="s">
        <v>167</v>
      </c>
      <c r="C119" t="s">
        <v>168</v>
      </c>
      <c r="D119" t="s">
        <v>95</v>
      </c>
      <c r="E119" t="s">
        <v>96</v>
      </c>
      <c r="F119" t="s">
        <v>187</v>
      </c>
      <c r="G119">
        <v>24</v>
      </c>
      <c r="H119" t="s">
        <v>56</v>
      </c>
      <c r="I119" t="s">
        <v>67</v>
      </c>
      <c r="J119" t="s">
        <v>50</v>
      </c>
      <c r="K119">
        <v>0</v>
      </c>
      <c r="L119">
        <v>0</v>
      </c>
      <c r="M119">
        <v>1</v>
      </c>
      <c r="N119" t="s">
        <v>65</v>
      </c>
      <c r="O119">
        <v>0</v>
      </c>
      <c r="P119">
        <v>1</v>
      </c>
      <c r="Q119">
        <v>1</v>
      </c>
      <c r="R119" t="s">
        <v>60</v>
      </c>
      <c r="S119">
        <v>0</v>
      </c>
      <c r="T119">
        <v>1</v>
      </c>
      <c r="U119">
        <v>1</v>
      </c>
      <c r="V119" t="s">
        <v>52</v>
      </c>
      <c r="W119">
        <v>1</v>
      </c>
      <c r="X119">
        <v>1</v>
      </c>
      <c r="Y119" t="s">
        <v>53</v>
      </c>
      <c r="Z119">
        <v>0</v>
      </c>
      <c r="AA119">
        <v>1</v>
      </c>
      <c r="AB119" t="s">
        <v>54</v>
      </c>
      <c r="AC119" t="s">
        <v>98</v>
      </c>
      <c r="AD119" t="s">
        <v>98</v>
      </c>
      <c r="AE119">
        <v>1</v>
      </c>
      <c r="AF119">
        <v>1</v>
      </c>
    </row>
    <row r="120" spans="1:32" x14ac:dyDescent="0.2">
      <c r="A120" t="s">
        <v>92</v>
      </c>
      <c r="B120" t="s">
        <v>167</v>
      </c>
      <c r="C120" t="s">
        <v>168</v>
      </c>
      <c r="D120" t="s">
        <v>112</v>
      </c>
      <c r="E120" t="s">
        <v>113</v>
      </c>
      <c r="F120" t="s">
        <v>188</v>
      </c>
      <c r="G120">
        <v>47</v>
      </c>
      <c r="H120" t="s">
        <v>56</v>
      </c>
      <c r="I120" t="s">
        <v>70</v>
      </c>
      <c r="J120" t="s">
        <v>144</v>
      </c>
      <c r="K120">
        <v>0</v>
      </c>
      <c r="L120">
        <v>1</v>
      </c>
      <c r="M120">
        <v>1</v>
      </c>
      <c r="N120" t="s">
        <v>65</v>
      </c>
      <c r="O120">
        <v>0</v>
      </c>
      <c r="P120">
        <v>1</v>
      </c>
      <c r="Q120">
        <v>1</v>
      </c>
      <c r="R120" t="s">
        <v>62</v>
      </c>
      <c r="S120">
        <v>1</v>
      </c>
      <c r="T120">
        <v>0</v>
      </c>
      <c r="U120">
        <v>1</v>
      </c>
      <c r="V120" t="s">
        <v>53</v>
      </c>
      <c r="W120">
        <v>0</v>
      </c>
      <c r="X120">
        <v>1</v>
      </c>
      <c r="Y120" t="s">
        <v>53</v>
      </c>
      <c r="Z120">
        <v>0</v>
      </c>
      <c r="AA120">
        <v>1</v>
      </c>
      <c r="AB120" t="s">
        <v>54</v>
      </c>
      <c r="AC120" t="s">
        <v>98</v>
      </c>
      <c r="AD120" t="s">
        <v>98</v>
      </c>
      <c r="AE120">
        <v>1</v>
      </c>
      <c r="AF120">
        <v>1</v>
      </c>
    </row>
    <row r="121" spans="1:32" x14ac:dyDescent="0.2">
      <c r="A121" t="s">
        <v>92</v>
      </c>
      <c r="B121" t="s">
        <v>167</v>
      </c>
      <c r="C121" t="s">
        <v>168</v>
      </c>
      <c r="D121" t="s">
        <v>112</v>
      </c>
      <c r="E121" t="s">
        <v>113</v>
      </c>
      <c r="F121" t="s">
        <v>189</v>
      </c>
      <c r="G121">
        <v>52</v>
      </c>
      <c r="H121" t="s">
        <v>56</v>
      </c>
      <c r="I121" t="s">
        <v>70</v>
      </c>
      <c r="J121" t="s">
        <v>59</v>
      </c>
      <c r="K121">
        <v>1</v>
      </c>
      <c r="L121">
        <v>0</v>
      </c>
      <c r="M121">
        <v>1</v>
      </c>
      <c r="N121" t="s">
        <v>65</v>
      </c>
      <c r="O121">
        <v>0</v>
      </c>
      <c r="P121">
        <v>1</v>
      </c>
      <c r="Q121">
        <v>1</v>
      </c>
      <c r="R121" t="s">
        <v>60</v>
      </c>
      <c r="S121">
        <v>0</v>
      </c>
      <c r="T121">
        <v>1</v>
      </c>
      <c r="U121">
        <v>1</v>
      </c>
      <c r="V121" t="s">
        <v>53</v>
      </c>
      <c r="W121">
        <v>0</v>
      </c>
      <c r="X121">
        <v>1</v>
      </c>
      <c r="Y121" t="s">
        <v>52</v>
      </c>
      <c r="Z121">
        <v>1</v>
      </c>
      <c r="AA121">
        <v>1</v>
      </c>
      <c r="AB121" t="s">
        <v>54</v>
      </c>
      <c r="AC121" t="s">
        <v>98</v>
      </c>
      <c r="AD121" t="s">
        <v>98</v>
      </c>
      <c r="AE121">
        <v>1</v>
      </c>
      <c r="AF121">
        <v>1</v>
      </c>
    </row>
    <row r="122" spans="1:32" x14ac:dyDescent="0.2">
      <c r="A122" t="s">
        <v>92</v>
      </c>
      <c r="B122" t="s">
        <v>167</v>
      </c>
      <c r="C122" t="s">
        <v>168</v>
      </c>
      <c r="D122" t="s">
        <v>112</v>
      </c>
      <c r="E122" t="s">
        <v>113</v>
      </c>
      <c r="F122" t="s">
        <v>190</v>
      </c>
      <c r="G122">
        <v>40</v>
      </c>
      <c r="H122" t="s">
        <v>48</v>
      </c>
      <c r="I122" t="s">
        <v>64</v>
      </c>
      <c r="J122" t="s">
        <v>59</v>
      </c>
      <c r="K122">
        <v>1</v>
      </c>
      <c r="L122">
        <v>0</v>
      </c>
      <c r="M122">
        <v>1</v>
      </c>
      <c r="N122" t="s">
        <v>73</v>
      </c>
      <c r="O122">
        <v>1</v>
      </c>
      <c r="P122">
        <v>0</v>
      </c>
      <c r="Q122">
        <v>1</v>
      </c>
      <c r="R122" t="s">
        <v>60</v>
      </c>
      <c r="S122">
        <v>0</v>
      </c>
      <c r="T122">
        <v>1</v>
      </c>
      <c r="U122">
        <v>1</v>
      </c>
      <c r="V122" t="s">
        <v>53</v>
      </c>
      <c r="W122">
        <v>0</v>
      </c>
      <c r="X122">
        <v>1</v>
      </c>
      <c r="Y122" t="s">
        <v>52</v>
      </c>
      <c r="Z122">
        <v>1</v>
      </c>
      <c r="AA122">
        <v>1</v>
      </c>
      <c r="AB122" t="s">
        <v>54</v>
      </c>
      <c r="AC122" t="s">
        <v>98</v>
      </c>
      <c r="AD122" t="s">
        <v>98</v>
      </c>
      <c r="AE122">
        <v>1</v>
      </c>
      <c r="AF122">
        <v>1</v>
      </c>
    </row>
    <row r="123" spans="1:32" x14ac:dyDescent="0.2">
      <c r="A123" t="s">
        <v>92</v>
      </c>
      <c r="B123" t="s">
        <v>167</v>
      </c>
      <c r="C123" t="s">
        <v>168</v>
      </c>
      <c r="D123" t="s">
        <v>95</v>
      </c>
      <c r="E123" t="s">
        <v>96</v>
      </c>
      <c r="F123" t="s">
        <v>191</v>
      </c>
      <c r="G123">
        <v>41</v>
      </c>
      <c r="H123" t="s">
        <v>48</v>
      </c>
      <c r="I123" t="s">
        <v>64</v>
      </c>
      <c r="J123" t="s">
        <v>50</v>
      </c>
      <c r="K123">
        <v>0</v>
      </c>
      <c r="L123">
        <v>0</v>
      </c>
      <c r="M123">
        <v>1</v>
      </c>
      <c r="N123" t="s">
        <v>73</v>
      </c>
      <c r="O123">
        <v>1</v>
      </c>
      <c r="P123">
        <v>0</v>
      </c>
      <c r="Q123">
        <v>1</v>
      </c>
      <c r="R123" t="s">
        <v>62</v>
      </c>
      <c r="S123">
        <v>1</v>
      </c>
      <c r="T123">
        <v>0</v>
      </c>
      <c r="U123">
        <v>1</v>
      </c>
      <c r="V123" t="s">
        <v>52</v>
      </c>
      <c r="W123">
        <v>1</v>
      </c>
      <c r="X123">
        <v>1</v>
      </c>
      <c r="Y123" t="s">
        <v>53</v>
      </c>
      <c r="Z123">
        <v>0</v>
      </c>
      <c r="AA123">
        <v>1</v>
      </c>
      <c r="AB123" t="s">
        <v>54</v>
      </c>
      <c r="AC123" t="s">
        <v>98</v>
      </c>
      <c r="AD123" t="s">
        <v>98</v>
      </c>
      <c r="AE123">
        <v>1</v>
      </c>
      <c r="AF123">
        <v>1</v>
      </c>
    </row>
    <row r="124" spans="1:32" x14ac:dyDescent="0.2">
      <c r="A124" t="s">
        <v>92</v>
      </c>
      <c r="B124" t="s">
        <v>167</v>
      </c>
      <c r="C124" t="s">
        <v>168</v>
      </c>
      <c r="D124" t="s">
        <v>112</v>
      </c>
      <c r="E124" t="s">
        <v>113</v>
      </c>
      <c r="F124" t="s">
        <v>192</v>
      </c>
      <c r="G124">
        <v>38</v>
      </c>
      <c r="H124" t="s">
        <v>56</v>
      </c>
      <c r="I124" t="s">
        <v>64</v>
      </c>
      <c r="J124" t="s">
        <v>144</v>
      </c>
      <c r="K124">
        <v>0</v>
      </c>
      <c r="L124">
        <v>1</v>
      </c>
      <c r="M124">
        <v>1</v>
      </c>
      <c r="N124" t="s">
        <v>65</v>
      </c>
      <c r="O124">
        <v>0</v>
      </c>
      <c r="P124">
        <v>1</v>
      </c>
      <c r="Q124">
        <v>1</v>
      </c>
      <c r="R124" t="s">
        <v>60</v>
      </c>
      <c r="S124">
        <v>0</v>
      </c>
      <c r="T124">
        <v>1</v>
      </c>
      <c r="U124">
        <v>1</v>
      </c>
      <c r="V124" t="s">
        <v>53</v>
      </c>
      <c r="W124">
        <v>0</v>
      </c>
      <c r="X124">
        <v>1</v>
      </c>
      <c r="Y124" t="s">
        <v>52</v>
      </c>
      <c r="Z124">
        <v>1</v>
      </c>
      <c r="AA124">
        <v>1</v>
      </c>
      <c r="AB124" t="s">
        <v>54</v>
      </c>
      <c r="AC124" t="s">
        <v>98</v>
      </c>
      <c r="AD124" t="s">
        <v>98</v>
      </c>
      <c r="AE124">
        <v>1</v>
      </c>
      <c r="AF124">
        <v>1</v>
      </c>
    </row>
    <row r="125" spans="1:32" x14ac:dyDescent="0.2">
      <c r="A125" t="s">
        <v>92</v>
      </c>
      <c r="B125" t="s">
        <v>167</v>
      </c>
      <c r="C125" t="s">
        <v>168</v>
      </c>
      <c r="D125" t="s">
        <v>95</v>
      </c>
      <c r="E125" t="s">
        <v>96</v>
      </c>
      <c r="F125" t="s">
        <v>193</v>
      </c>
      <c r="G125">
        <v>32</v>
      </c>
      <c r="H125" t="s">
        <v>56</v>
      </c>
      <c r="I125" t="s">
        <v>49</v>
      </c>
      <c r="J125" t="s">
        <v>50</v>
      </c>
      <c r="K125">
        <v>0</v>
      </c>
      <c r="L125">
        <v>0</v>
      </c>
      <c r="M125">
        <v>1</v>
      </c>
      <c r="O125">
        <v>0</v>
      </c>
      <c r="P125">
        <v>0</v>
      </c>
      <c r="Q125">
        <v>0</v>
      </c>
      <c r="R125" t="s">
        <v>62</v>
      </c>
      <c r="S125">
        <v>1</v>
      </c>
      <c r="T125">
        <v>0</v>
      </c>
      <c r="U125">
        <v>1</v>
      </c>
      <c r="V125" t="s">
        <v>53</v>
      </c>
      <c r="W125">
        <v>0</v>
      </c>
      <c r="X125">
        <v>1</v>
      </c>
      <c r="Y125" t="s">
        <v>53</v>
      </c>
      <c r="Z125">
        <v>0</v>
      </c>
      <c r="AA125">
        <v>1</v>
      </c>
      <c r="AB125" t="s">
        <v>54</v>
      </c>
      <c r="AC125" t="s">
        <v>98</v>
      </c>
      <c r="AD125" t="s">
        <v>98</v>
      </c>
      <c r="AE125">
        <v>1</v>
      </c>
      <c r="AF125">
        <v>1</v>
      </c>
    </row>
    <row r="126" spans="1:32" x14ac:dyDescent="0.2">
      <c r="A126" t="s">
        <v>92</v>
      </c>
      <c r="B126" t="s">
        <v>167</v>
      </c>
      <c r="C126" t="s">
        <v>168</v>
      </c>
      <c r="D126" t="s">
        <v>95</v>
      </c>
      <c r="E126" t="s">
        <v>96</v>
      </c>
      <c r="F126" t="s">
        <v>194</v>
      </c>
      <c r="G126">
        <v>47</v>
      </c>
      <c r="H126" t="s">
        <v>48</v>
      </c>
      <c r="I126" t="s">
        <v>70</v>
      </c>
      <c r="J126" t="s">
        <v>144</v>
      </c>
      <c r="K126">
        <v>0</v>
      </c>
      <c r="L126">
        <v>1</v>
      </c>
      <c r="M126">
        <v>1</v>
      </c>
      <c r="N126" t="s">
        <v>65</v>
      </c>
      <c r="O126">
        <v>0</v>
      </c>
      <c r="P126">
        <v>1</v>
      </c>
      <c r="Q126">
        <v>1</v>
      </c>
      <c r="R126" t="s">
        <v>60</v>
      </c>
      <c r="S126">
        <v>0</v>
      </c>
      <c r="T126">
        <v>1</v>
      </c>
      <c r="U126">
        <v>1</v>
      </c>
      <c r="V126" t="s">
        <v>53</v>
      </c>
      <c r="W126">
        <v>0</v>
      </c>
      <c r="X126">
        <v>1</v>
      </c>
      <c r="Y126" t="s">
        <v>52</v>
      </c>
      <c r="Z126">
        <v>1</v>
      </c>
      <c r="AA126">
        <v>1</v>
      </c>
      <c r="AB126" t="s">
        <v>54</v>
      </c>
      <c r="AC126" t="s">
        <v>98</v>
      </c>
      <c r="AD126" t="s">
        <v>98</v>
      </c>
      <c r="AE126">
        <v>1</v>
      </c>
      <c r="AF126">
        <v>1</v>
      </c>
    </row>
    <row r="127" spans="1:32" x14ac:dyDescent="0.2">
      <c r="A127" t="s">
        <v>92</v>
      </c>
      <c r="B127" t="s">
        <v>167</v>
      </c>
      <c r="C127" t="s">
        <v>168</v>
      </c>
      <c r="D127" t="s">
        <v>95</v>
      </c>
      <c r="E127" t="s">
        <v>96</v>
      </c>
      <c r="F127" t="s">
        <v>195</v>
      </c>
      <c r="G127">
        <v>49</v>
      </c>
      <c r="H127" t="s">
        <v>48</v>
      </c>
      <c r="I127" t="s">
        <v>70</v>
      </c>
      <c r="J127" t="s">
        <v>144</v>
      </c>
      <c r="K127">
        <v>0</v>
      </c>
      <c r="L127">
        <v>1</v>
      </c>
      <c r="M127">
        <v>1</v>
      </c>
      <c r="N127" t="s">
        <v>65</v>
      </c>
      <c r="O127">
        <v>0</v>
      </c>
      <c r="P127">
        <v>1</v>
      </c>
      <c r="Q127">
        <v>1</v>
      </c>
      <c r="R127" t="s">
        <v>62</v>
      </c>
      <c r="S127">
        <v>1</v>
      </c>
      <c r="T127">
        <v>0</v>
      </c>
      <c r="U127">
        <v>1</v>
      </c>
      <c r="V127" t="s">
        <v>53</v>
      </c>
      <c r="W127">
        <v>0</v>
      </c>
      <c r="X127">
        <v>1</v>
      </c>
      <c r="Y127" t="s">
        <v>53</v>
      </c>
      <c r="Z127">
        <v>0</v>
      </c>
      <c r="AA127">
        <v>1</v>
      </c>
      <c r="AB127" t="s">
        <v>54</v>
      </c>
      <c r="AC127" t="s">
        <v>98</v>
      </c>
      <c r="AD127" t="s">
        <v>98</v>
      </c>
      <c r="AE127">
        <v>1</v>
      </c>
      <c r="AF127">
        <v>1</v>
      </c>
    </row>
    <row r="128" spans="1:32" x14ac:dyDescent="0.2">
      <c r="A128" t="s">
        <v>92</v>
      </c>
      <c r="B128" t="s">
        <v>167</v>
      </c>
      <c r="C128" t="s">
        <v>168</v>
      </c>
      <c r="D128" t="s">
        <v>95</v>
      </c>
      <c r="E128" t="s">
        <v>96</v>
      </c>
      <c r="F128" t="s">
        <v>196</v>
      </c>
      <c r="G128">
        <v>43</v>
      </c>
      <c r="H128" t="s">
        <v>48</v>
      </c>
      <c r="I128" t="s">
        <v>64</v>
      </c>
      <c r="J128" t="s">
        <v>59</v>
      </c>
      <c r="K128">
        <v>1</v>
      </c>
      <c r="L128">
        <v>0</v>
      </c>
      <c r="M128">
        <v>1</v>
      </c>
      <c r="N128" t="s">
        <v>73</v>
      </c>
      <c r="O128">
        <v>1</v>
      </c>
      <c r="P128">
        <v>0</v>
      </c>
      <c r="Q128">
        <v>1</v>
      </c>
      <c r="R128" t="s">
        <v>60</v>
      </c>
      <c r="S128">
        <v>0</v>
      </c>
      <c r="T128">
        <v>1</v>
      </c>
      <c r="U128">
        <v>1</v>
      </c>
      <c r="V128" t="s">
        <v>53</v>
      </c>
      <c r="W128">
        <v>0</v>
      </c>
      <c r="X128">
        <v>1</v>
      </c>
      <c r="Y128" t="s">
        <v>52</v>
      </c>
      <c r="Z128">
        <v>1</v>
      </c>
      <c r="AA128">
        <v>1</v>
      </c>
      <c r="AB128" t="s">
        <v>54</v>
      </c>
      <c r="AC128" t="s">
        <v>98</v>
      </c>
      <c r="AD128" t="s">
        <v>98</v>
      </c>
      <c r="AE128">
        <v>1</v>
      </c>
      <c r="AF128">
        <v>1</v>
      </c>
    </row>
    <row r="129" spans="1:32" x14ac:dyDescent="0.2">
      <c r="A129" t="s">
        <v>92</v>
      </c>
      <c r="B129" t="s">
        <v>167</v>
      </c>
      <c r="C129" t="s">
        <v>168</v>
      </c>
      <c r="D129" t="s">
        <v>95</v>
      </c>
      <c r="E129" t="s">
        <v>96</v>
      </c>
      <c r="F129" t="s">
        <v>197</v>
      </c>
      <c r="G129">
        <v>48</v>
      </c>
      <c r="H129" t="s">
        <v>56</v>
      </c>
      <c r="I129" t="s">
        <v>70</v>
      </c>
      <c r="J129" t="s">
        <v>50</v>
      </c>
      <c r="K129">
        <v>0</v>
      </c>
      <c r="L129">
        <v>0</v>
      </c>
      <c r="M129">
        <v>1</v>
      </c>
      <c r="N129" t="s">
        <v>73</v>
      </c>
      <c r="O129">
        <v>1</v>
      </c>
      <c r="P129">
        <v>0</v>
      </c>
      <c r="Q129">
        <v>1</v>
      </c>
      <c r="R129" t="s">
        <v>60</v>
      </c>
      <c r="S129">
        <v>0</v>
      </c>
      <c r="T129">
        <v>1</v>
      </c>
      <c r="U129">
        <v>1</v>
      </c>
      <c r="V129" t="s">
        <v>53</v>
      </c>
      <c r="W129">
        <v>0</v>
      </c>
      <c r="X129">
        <v>1</v>
      </c>
      <c r="Y129" t="s">
        <v>52</v>
      </c>
      <c r="Z129">
        <v>1</v>
      </c>
      <c r="AA129">
        <v>1</v>
      </c>
      <c r="AB129" t="s">
        <v>54</v>
      </c>
      <c r="AC129" t="s">
        <v>98</v>
      </c>
      <c r="AD129" t="s">
        <v>98</v>
      </c>
      <c r="AE129">
        <v>1</v>
      </c>
      <c r="AF129">
        <v>1</v>
      </c>
    </row>
    <row r="130" spans="1:32" x14ac:dyDescent="0.2">
      <c r="A130" t="s">
        <v>92</v>
      </c>
      <c r="B130" t="s">
        <v>167</v>
      </c>
      <c r="C130" t="s">
        <v>168</v>
      </c>
      <c r="D130" t="s">
        <v>95</v>
      </c>
      <c r="E130" t="s">
        <v>96</v>
      </c>
      <c r="F130" t="s">
        <v>198</v>
      </c>
      <c r="G130">
        <v>58</v>
      </c>
      <c r="H130" t="s">
        <v>48</v>
      </c>
      <c r="I130" t="s">
        <v>85</v>
      </c>
      <c r="J130" t="s">
        <v>50</v>
      </c>
      <c r="K130">
        <v>0</v>
      </c>
      <c r="L130">
        <v>0</v>
      </c>
      <c r="M130">
        <v>1</v>
      </c>
      <c r="N130" t="s">
        <v>65</v>
      </c>
      <c r="O130">
        <v>0</v>
      </c>
      <c r="P130">
        <v>1</v>
      </c>
      <c r="Q130">
        <v>1</v>
      </c>
      <c r="R130" t="s">
        <v>62</v>
      </c>
      <c r="S130">
        <v>1</v>
      </c>
      <c r="T130">
        <v>0</v>
      </c>
      <c r="U130">
        <v>1</v>
      </c>
      <c r="V130" t="s">
        <v>53</v>
      </c>
      <c r="W130">
        <v>0</v>
      </c>
      <c r="X130">
        <v>1</v>
      </c>
      <c r="Y130" t="s">
        <v>52</v>
      </c>
      <c r="Z130">
        <v>1</v>
      </c>
      <c r="AA130">
        <v>1</v>
      </c>
      <c r="AB130" t="s">
        <v>54</v>
      </c>
      <c r="AC130" t="s">
        <v>98</v>
      </c>
      <c r="AD130" t="s">
        <v>98</v>
      </c>
      <c r="AE130">
        <v>1</v>
      </c>
      <c r="AF130">
        <v>1</v>
      </c>
    </row>
    <row r="131" spans="1:32" x14ac:dyDescent="0.2">
      <c r="A131" t="s">
        <v>92</v>
      </c>
      <c r="B131" t="s">
        <v>167</v>
      </c>
      <c r="C131" t="s">
        <v>168</v>
      </c>
      <c r="D131" t="s">
        <v>95</v>
      </c>
      <c r="E131" t="s">
        <v>96</v>
      </c>
      <c r="F131" t="s">
        <v>199</v>
      </c>
      <c r="G131">
        <v>56</v>
      </c>
      <c r="H131" t="s">
        <v>56</v>
      </c>
      <c r="I131" t="s">
        <v>85</v>
      </c>
      <c r="J131" t="s">
        <v>50</v>
      </c>
      <c r="K131">
        <v>0</v>
      </c>
      <c r="L131">
        <v>0</v>
      </c>
      <c r="M131">
        <v>1</v>
      </c>
      <c r="N131" t="s">
        <v>65</v>
      </c>
      <c r="O131">
        <v>0</v>
      </c>
      <c r="P131">
        <v>1</v>
      </c>
      <c r="Q131">
        <v>1</v>
      </c>
      <c r="R131" t="s">
        <v>60</v>
      </c>
      <c r="S131">
        <v>0</v>
      </c>
      <c r="T131">
        <v>1</v>
      </c>
      <c r="U131">
        <v>1</v>
      </c>
      <c r="V131" t="s">
        <v>52</v>
      </c>
      <c r="W131">
        <v>1</v>
      </c>
      <c r="X131">
        <v>1</v>
      </c>
      <c r="Y131" t="s">
        <v>52</v>
      </c>
      <c r="Z131">
        <v>1</v>
      </c>
      <c r="AA131">
        <v>1</v>
      </c>
      <c r="AB131" t="s">
        <v>54</v>
      </c>
      <c r="AC131" t="s">
        <v>98</v>
      </c>
      <c r="AD131" t="s">
        <v>98</v>
      </c>
      <c r="AE131">
        <v>1</v>
      </c>
      <c r="AF131">
        <v>1</v>
      </c>
    </row>
    <row r="132" spans="1:32" x14ac:dyDescent="0.2">
      <c r="A132" t="s">
        <v>92</v>
      </c>
      <c r="B132" t="s">
        <v>167</v>
      </c>
      <c r="C132" t="s">
        <v>168</v>
      </c>
      <c r="D132" t="s">
        <v>95</v>
      </c>
      <c r="E132" t="s">
        <v>96</v>
      </c>
      <c r="F132" t="s">
        <v>200</v>
      </c>
      <c r="G132">
        <v>52</v>
      </c>
      <c r="H132" t="s">
        <v>56</v>
      </c>
      <c r="I132" t="s">
        <v>70</v>
      </c>
      <c r="J132" t="s">
        <v>59</v>
      </c>
      <c r="K132">
        <v>1</v>
      </c>
      <c r="L132">
        <v>0</v>
      </c>
      <c r="M132">
        <v>1</v>
      </c>
      <c r="O132">
        <v>0</v>
      </c>
      <c r="P132">
        <v>0</v>
      </c>
      <c r="Q132">
        <v>0</v>
      </c>
      <c r="R132" t="s">
        <v>51</v>
      </c>
      <c r="S132">
        <v>0</v>
      </c>
      <c r="T132">
        <v>0</v>
      </c>
      <c r="U132">
        <v>1</v>
      </c>
      <c r="V132" t="s">
        <v>53</v>
      </c>
      <c r="W132">
        <v>0</v>
      </c>
      <c r="X132">
        <v>1</v>
      </c>
      <c r="Y132" t="s">
        <v>52</v>
      </c>
      <c r="Z132">
        <v>1</v>
      </c>
      <c r="AA132">
        <v>1</v>
      </c>
      <c r="AB132" t="s">
        <v>54</v>
      </c>
      <c r="AC132" t="s">
        <v>98</v>
      </c>
      <c r="AD132" t="s">
        <v>98</v>
      </c>
      <c r="AE132">
        <v>1</v>
      </c>
      <c r="AF132">
        <v>1</v>
      </c>
    </row>
    <row r="133" spans="1:32" x14ac:dyDescent="0.2">
      <c r="A133" t="s">
        <v>92</v>
      </c>
      <c r="B133" t="s">
        <v>167</v>
      </c>
      <c r="C133" t="s">
        <v>168</v>
      </c>
      <c r="D133" t="s">
        <v>95</v>
      </c>
      <c r="E133" t="s">
        <v>96</v>
      </c>
      <c r="F133" t="s">
        <v>201</v>
      </c>
      <c r="G133">
        <v>44</v>
      </c>
      <c r="H133" t="s">
        <v>48</v>
      </c>
      <c r="I133" t="s">
        <v>64</v>
      </c>
      <c r="J133" t="s">
        <v>50</v>
      </c>
      <c r="K133">
        <v>0</v>
      </c>
      <c r="L133">
        <v>0</v>
      </c>
      <c r="M133">
        <v>1</v>
      </c>
      <c r="N133" t="s">
        <v>65</v>
      </c>
      <c r="O133">
        <v>0</v>
      </c>
      <c r="P133">
        <v>1</v>
      </c>
      <c r="Q133">
        <v>1</v>
      </c>
      <c r="R133" t="s">
        <v>62</v>
      </c>
      <c r="S133">
        <v>1</v>
      </c>
      <c r="T133">
        <v>0</v>
      </c>
      <c r="U133">
        <v>1</v>
      </c>
      <c r="V133" t="s">
        <v>52</v>
      </c>
      <c r="W133">
        <v>1</v>
      </c>
      <c r="X133">
        <v>1</v>
      </c>
      <c r="Y133" t="s">
        <v>53</v>
      </c>
      <c r="Z133">
        <v>0</v>
      </c>
      <c r="AA133">
        <v>1</v>
      </c>
      <c r="AB133" t="s">
        <v>54</v>
      </c>
      <c r="AC133" t="s">
        <v>98</v>
      </c>
      <c r="AD133" t="s">
        <v>98</v>
      </c>
      <c r="AE133">
        <v>1</v>
      </c>
      <c r="AF133">
        <v>1</v>
      </c>
    </row>
    <row r="134" spans="1:32" x14ac:dyDescent="0.2">
      <c r="A134" t="s">
        <v>92</v>
      </c>
      <c r="B134" t="s">
        <v>167</v>
      </c>
      <c r="C134" t="s">
        <v>168</v>
      </c>
      <c r="D134" t="s">
        <v>95</v>
      </c>
      <c r="E134" t="s">
        <v>96</v>
      </c>
      <c r="F134" t="s">
        <v>202</v>
      </c>
      <c r="G134">
        <v>35</v>
      </c>
      <c r="H134" t="s">
        <v>56</v>
      </c>
      <c r="I134" t="s">
        <v>49</v>
      </c>
      <c r="J134" t="s">
        <v>50</v>
      </c>
      <c r="K134">
        <v>0</v>
      </c>
      <c r="L134">
        <v>0</v>
      </c>
      <c r="M134">
        <v>1</v>
      </c>
      <c r="N134" t="s">
        <v>73</v>
      </c>
      <c r="O134">
        <v>1</v>
      </c>
      <c r="P134">
        <v>0</v>
      </c>
      <c r="Q134">
        <v>1</v>
      </c>
      <c r="R134" t="s">
        <v>62</v>
      </c>
      <c r="S134">
        <v>1</v>
      </c>
      <c r="T134">
        <v>0</v>
      </c>
      <c r="U134">
        <v>1</v>
      </c>
      <c r="V134" t="s">
        <v>53</v>
      </c>
      <c r="W134">
        <v>0</v>
      </c>
      <c r="X134">
        <v>1</v>
      </c>
      <c r="Y134" t="s">
        <v>52</v>
      </c>
      <c r="Z134">
        <v>1</v>
      </c>
      <c r="AA134">
        <v>1</v>
      </c>
      <c r="AB134" t="s">
        <v>54</v>
      </c>
      <c r="AC134" t="s">
        <v>98</v>
      </c>
      <c r="AD134" t="s">
        <v>98</v>
      </c>
      <c r="AE134">
        <v>1</v>
      </c>
      <c r="AF134">
        <v>1</v>
      </c>
    </row>
    <row r="135" spans="1:32" x14ac:dyDescent="0.2">
      <c r="A135" t="s">
        <v>92</v>
      </c>
      <c r="B135" t="s">
        <v>167</v>
      </c>
      <c r="C135" t="s">
        <v>168</v>
      </c>
      <c r="D135" t="s">
        <v>112</v>
      </c>
      <c r="E135" t="s">
        <v>113</v>
      </c>
      <c r="F135" t="s">
        <v>203</v>
      </c>
      <c r="G135">
        <v>33</v>
      </c>
      <c r="H135" t="s">
        <v>48</v>
      </c>
      <c r="I135" t="s">
        <v>49</v>
      </c>
      <c r="J135" t="s">
        <v>144</v>
      </c>
      <c r="K135">
        <v>0</v>
      </c>
      <c r="L135">
        <v>1</v>
      </c>
      <c r="M135">
        <v>1</v>
      </c>
      <c r="N135" t="s">
        <v>65</v>
      </c>
      <c r="O135">
        <v>0</v>
      </c>
      <c r="P135">
        <v>1</v>
      </c>
      <c r="Q135">
        <v>1</v>
      </c>
      <c r="R135" t="s">
        <v>62</v>
      </c>
      <c r="S135">
        <v>1</v>
      </c>
      <c r="T135">
        <v>0</v>
      </c>
      <c r="U135">
        <v>1</v>
      </c>
      <c r="V135" t="s">
        <v>52</v>
      </c>
      <c r="W135">
        <v>1</v>
      </c>
      <c r="X135">
        <v>1</v>
      </c>
      <c r="Y135" t="s">
        <v>52</v>
      </c>
      <c r="Z135">
        <v>1</v>
      </c>
      <c r="AA135">
        <v>1</v>
      </c>
      <c r="AB135" t="s">
        <v>54</v>
      </c>
      <c r="AC135" t="s">
        <v>98</v>
      </c>
      <c r="AD135" t="s">
        <v>98</v>
      </c>
      <c r="AE135">
        <v>1</v>
      </c>
      <c r="AF135">
        <v>1</v>
      </c>
    </row>
    <row r="136" spans="1:32" x14ac:dyDescent="0.2">
      <c r="A136" t="s">
        <v>92</v>
      </c>
      <c r="B136" t="s">
        <v>167</v>
      </c>
      <c r="C136" t="s">
        <v>168</v>
      </c>
      <c r="D136" t="s">
        <v>95</v>
      </c>
      <c r="E136" t="s">
        <v>96</v>
      </c>
      <c r="F136" t="s">
        <v>204</v>
      </c>
      <c r="G136">
        <v>36</v>
      </c>
      <c r="H136" t="s">
        <v>56</v>
      </c>
      <c r="I136" t="s">
        <v>64</v>
      </c>
      <c r="J136" t="s">
        <v>50</v>
      </c>
      <c r="K136">
        <v>0</v>
      </c>
      <c r="L136">
        <v>0</v>
      </c>
      <c r="M136">
        <v>1</v>
      </c>
      <c r="N136" t="s">
        <v>73</v>
      </c>
      <c r="O136">
        <v>1</v>
      </c>
      <c r="P136">
        <v>0</v>
      </c>
      <c r="Q136">
        <v>1</v>
      </c>
      <c r="R136" t="s">
        <v>60</v>
      </c>
      <c r="S136">
        <v>0</v>
      </c>
      <c r="T136">
        <v>1</v>
      </c>
      <c r="U136">
        <v>1</v>
      </c>
      <c r="V136" t="s">
        <v>52</v>
      </c>
      <c r="W136">
        <v>1</v>
      </c>
      <c r="X136">
        <v>1</v>
      </c>
      <c r="Y136" t="s">
        <v>53</v>
      </c>
      <c r="Z136">
        <v>0</v>
      </c>
      <c r="AA136">
        <v>1</v>
      </c>
      <c r="AB136" t="s">
        <v>54</v>
      </c>
      <c r="AC136" t="s">
        <v>98</v>
      </c>
      <c r="AD136" t="s">
        <v>98</v>
      </c>
      <c r="AE136">
        <v>1</v>
      </c>
      <c r="AF136">
        <v>1</v>
      </c>
    </row>
    <row r="137" spans="1:32" x14ac:dyDescent="0.2">
      <c r="A137" t="s">
        <v>92</v>
      </c>
      <c r="B137" t="s">
        <v>167</v>
      </c>
      <c r="C137" t="s">
        <v>168</v>
      </c>
      <c r="D137" t="s">
        <v>95</v>
      </c>
      <c r="E137" t="s">
        <v>96</v>
      </c>
      <c r="F137" t="s">
        <v>205</v>
      </c>
      <c r="G137">
        <v>40</v>
      </c>
      <c r="H137" t="s">
        <v>56</v>
      </c>
      <c r="I137" t="s">
        <v>64</v>
      </c>
      <c r="J137" t="s">
        <v>50</v>
      </c>
      <c r="K137">
        <v>0</v>
      </c>
      <c r="L137">
        <v>0</v>
      </c>
      <c r="M137">
        <v>1</v>
      </c>
      <c r="O137">
        <v>0</v>
      </c>
      <c r="P137">
        <v>0</v>
      </c>
      <c r="Q137">
        <v>0</v>
      </c>
      <c r="R137" t="s">
        <v>62</v>
      </c>
      <c r="S137">
        <v>1</v>
      </c>
      <c r="T137">
        <v>0</v>
      </c>
      <c r="U137">
        <v>1</v>
      </c>
      <c r="V137" t="s">
        <v>52</v>
      </c>
      <c r="W137">
        <v>1</v>
      </c>
      <c r="X137">
        <v>1</v>
      </c>
      <c r="Y137" t="s">
        <v>53</v>
      </c>
      <c r="Z137">
        <v>0</v>
      </c>
      <c r="AA137">
        <v>1</v>
      </c>
      <c r="AB137" t="s">
        <v>54</v>
      </c>
      <c r="AC137" t="s">
        <v>98</v>
      </c>
      <c r="AD137" t="s">
        <v>98</v>
      </c>
      <c r="AE137">
        <v>1</v>
      </c>
      <c r="AF137">
        <v>1</v>
      </c>
    </row>
    <row r="138" spans="1:32" x14ac:dyDescent="0.2">
      <c r="A138" t="s">
        <v>92</v>
      </c>
      <c r="B138" t="s">
        <v>167</v>
      </c>
      <c r="C138" t="s">
        <v>168</v>
      </c>
      <c r="D138" t="s">
        <v>95</v>
      </c>
      <c r="E138" t="s">
        <v>96</v>
      </c>
      <c r="F138" t="s">
        <v>206</v>
      </c>
      <c r="G138">
        <v>30</v>
      </c>
      <c r="H138" t="s">
        <v>48</v>
      </c>
      <c r="I138" t="s">
        <v>49</v>
      </c>
      <c r="J138" t="s">
        <v>50</v>
      </c>
      <c r="K138">
        <v>0</v>
      </c>
      <c r="L138">
        <v>0</v>
      </c>
      <c r="M138">
        <v>1</v>
      </c>
      <c r="N138" t="s">
        <v>65</v>
      </c>
      <c r="O138">
        <v>0</v>
      </c>
      <c r="P138">
        <v>1</v>
      </c>
      <c r="Q138">
        <v>1</v>
      </c>
      <c r="R138" t="s">
        <v>62</v>
      </c>
      <c r="S138">
        <v>1</v>
      </c>
      <c r="T138">
        <v>0</v>
      </c>
      <c r="U138">
        <v>1</v>
      </c>
      <c r="V138" t="s">
        <v>52</v>
      </c>
      <c r="W138">
        <v>1</v>
      </c>
      <c r="X138">
        <v>1</v>
      </c>
      <c r="Y138" t="s">
        <v>53</v>
      </c>
      <c r="Z138">
        <v>0</v>
      </c>
      <c r="AA138">
        <v>1</v>
      </c>
      <c r="AB138" t="s">
        <v>54</v>
      </c>
      <c r="AC138" t="s">
        <v>98</v>
      </c>
      <c r="AD138" t="s">
        <v>98</v>
      </c>
      <c r="AE138">
        <v>1</v>
      </c>
      <c r="AF138">
        <v>1</v>
      </c>
    </row>
    <row r="139" spans="1:32" x14ac:dyDescent="0.2">
      <c r="A139" t="s">
        <v>92</v>
      </c>
      <c r="B139" t="s">
        <v>167</v>
      </c>
      <c r="C139" t="s">
        <v>168</v>
      </c>
      <c r="D139" t="s">
        <v>95</v>
      </c>
      <c r="E139" t="s">
        <v>96</v>
      </c>
      <c r="F139" t="s">
        <v>207</v>
      </c>
      <c r="G139">
        <v>36</v>
      </c>
      <c r="H139" t="s">
        <v>56</v>
      </c>
      <c r="I139" t="s">
        <v>64</v>
      </c>
      <c r="J139" t="s">
        <v>50</v>
      </c>
      <c r="K139">
        <v>0</v>
      </c>
      <c r="L139">
        <v>0</v>
      </c>
      <c r="M139">
        <v>1</v>
      </c>
      <c r="O139">
        <v>0</v>
      </c>
      <c r="P139">
        <v>0</v>
      </c>
      <c r="Q139">
        <v>0</v>
      </c>
      <c r="R139" t="s">
        <v>60</v>
      </c>
      <c r="S139">
        <v>0</v>
      </c>
      <c r="T139">
        <v>1</v>
      </c>
      <c r="U139">
        <v>1</v>
      </c>
      <c r="V139" t="s">
        <v>53</v>
      </c>
      <c r="W139">
        <v>0</v>
      </c>
      <c r="X139">
        <v>1</v>
      </c>
      <c r="Y139" t="s">
        <v>53</v>
      </c>
      <c r="Z139">
        <v>0</v>
      </c>
      <c r="AA139">
        <v>1</v>
      </c>
      <c r="AB139" t="s">
        <v>54</v>
      </c>
      <c r="AC139" t="s">
        <v>98</v>
      </c>
      <c r="AD139" t="s">
        <v>98</v>
      </c>
      <c r="AE139">
        <v>1</v>
      </c>
      <c r="AF139">
        <v>1</v>
      </c>
    </row>
    <row r="140" spans="1:32" x14ac:dyDescent="0.2">
      <c r="A140" t="s">
        <v>92</v>
      </c>
      <c r="B140" t="s">
        <v>167</v>
      </c>
      <c r="C140" t="s">
        <v>168</v>
      </c>
      <c r="D140" t="s">
        <v>95</v>
      </c>
      <c r="E140" t="s">
        <v>96</v>
      </c>
      <c r="F140" t="s">
        <v>208</v>
      </c>
      <c r="G140">
        <v>37</v>
      </c>
      <c r="H140" t="s">
        <v>48</v>
      </c>
      <c r="I140" t="s">
        <v>64</v>
      </c>
      <c r="J140" t="s">
        <v>50</v>
      </c>
      <c r="K140">
        <v>0</v>
      </c>
      <c r="L140">
        <v>0</v>
      </c>
      <c r="M140">
        <v>1</v>
      </c>
      <c r="N140" t="s">
        <v>65</v>
      </c>
      <c r="O140">
        <v>0</v>
      </c>
      <c r="P140">
        <v>1</v>
      </c>
      <c r="Q140">
        <v>1</v>
      </c>
      <c r="R140" t="s">
        <v>62</v>
      </c>
      <c r="S140">
        <v>1</v>
      </c>
      <c r="T140">
        <v>0</v>
      </c>
      <c r="U140">
        <v>1</v>
      </c>
      <c r="V140" t="s">
        <v>53</v>
      </c>
      <c r="W140">
        <v>0</v>
      </c>
      <c r="X140">
        <v>1</v>
      </c>
      <c r="Y140" t="s">
        <v>53</v>
      </c>
      <c r="Z140">
        <v>0</v>
      </c>
      <c r="AA140">
        <v>1</v>
      </c>
      <c r="AB140" t="s">
        <v>54</v>
      </c>
      <c r="AC140" t="s">
        <v>98</v>
      </c>
      <c r="AD140" t="s">
        <v>98</v>
      </c>
      <c r="AE140">
        <v>1</v>
      </c>
      <c r="AF140">
        <v>1</v>
      </c>
    </row>
    <row r="141" spans="1:32" x14ac:dyDescent="0.2">
      <c r="A141" t="s">
        <v>92</v>
      </c>
      <c r="B141" t="s">
        <v>167</v>
      </c>
      <c r="C141" t="s">
        <v>168</v>
      </c>
      <c r="D141" t="s">
        <v>95</v>
      </c>
      <c r="E141" t="s">
        <v>96</v>
      </c>
      <c r="F141" t="s">
        <v>209</v>
      </c>
      <c r="G141">
        <v>31</v>
      </c>
      <c r="H141" t="s">
        <v>56</v>
      </c>
      <c r="I141" t="s">
        <v>49</v>
      </c>
      <c r="J141" t="s">
        <v>144</v>
      </c>
      <c r="K141">
        <v>0</v>
      </c>
      <c r="L141">
        <v>1</v>
      </c>
      <c r="M141">
        <v>1</v>
      </c>
      <c r="O141">
        <v>0</v>
      </c>
      <c r="P141">
        <v>0</v>
      </c>
      <c r="Q141">
        <v>0</v>
      </c>
      <c r="R141" t="s">
        <v>62</v>
      </c>
      <c r="S141">
        <v>1</v>
      </c>
      <c r="T141">
        <v>0</v>
      </c>
      <c r="U141">
        <v>1</v>
      </c>
      <c r="V141" t="s">
        <v>52</v>
      </c>
      <c r="W141">
        <v>1</v>
      </c>
      <c r="X141">
        <v>1</v>
      </c>
      <c r="Y141" t="s">
        <v>53</v>
      </c>
      <c r="Z141">
        <v>0</v>
      </c>
      <c r="AA141">
        <v>1</v>
      </c>
      <c r="AB141" t="s">
        <v>54</v>
      </c>
      <c r="AC141" t="s">
        <v>98</v>
      </c>
      <c r="AD141" t="s">
        <v>98</v>
      </c>
      <c r="AE141">
        <v>1</v>
      </c>
      <c r="AF141">
        <v>1</v>
      </c>
    </row>
    <row r="142" spans="1:32" x14ac:dyDescent="0.2">
      <c r="A142" t="s">
        <v>92</v>
      </c>
      <c r="B142" t="s">
        <v>167</v>
      </c>
      <c r="C142" t="s">
        <v>168</v>
      </c>
      <c r="D142" t="s">
        <v>95</v>
      </c>
      <c r="E142" t="s">
        <v>96</v>
      </c>
      <c r="F142" t="s">
        <v>210</v>
      </c>
      <c r="G142">
        <v>35</v>
      </c>
      <c r="H142" t="s">
        <v>48</v>
      </c>
      <c r="I142" t="s">
        <v>49</v>
      </c>
      <c r="J142" t="s">
        <v>144</v>
      </c>
      <c r="K142">
        <v>0</v>
      </c>
      <c r="L142">
        <v>1</v>
      </c>
      <c r="M142">
        <v>1</v>
      </c>
      <c r="N142" t="s">
        <v>65</v>
      </c>
      <c r="O142">
        <v>0</v>
      </c>
      <c r="P142">
        <v>1</v>
      </c>
      <c r="Q142">
        <v>1</v>
      </c>
      <c r="R142" t="s">
        <v>60</v>
      </c>
      <c r="S142">
        <v>0</v>
      </c>
      <c r="T142">
        <v>1</v>
      </c>
      <c r="U142">
        <v>1</v>
      </c>
      <c r="V142" t="s">
        <v>53</v>
      </c>
      <c r="W142">
        <v>0</v>
      </c>
      <c r="X142">
        <v>1</v>
      </c>
      <c r="Y142" t="s">
        <v>52</v>
      </c>
      <c r="Z142">
        <v>1</v>
      </c>
      <c r="AA142">
        <v>1</v>
      </c>
      <c r="AB142" t="s">
        <v>54</v>
      </c>
      <c r="AC142" t="s">
        <v>98</v>
      </c>
      <c r="AD142" t="s">
        <v>98</v>
      </c>
      <c r="AE142">
        <v>1</v>
      </c>
      <c r="AF142">
        <v>1</v>
      </c>
    </row>
    <row r="143" spans="1:32" x14ac:dyDescent="0.2">
      <c r="A143" t="s">
        <v>92</v>
      </c>
      <c r="B143" t="s">
        <v>167</v>
      </c>
      <c r="C143" t="s">
        <v>168</v>
      </c>
      <c r="D143" t="s">
        <v>95</v>
      </c>
      <c r="E143" t="s">
        <v>96</v>
      </c>
      <c r="F143" t="s">
        <v>211</v>
      </c>
      <c r="G143">
        <v>33</v>
      </c>
      <c r="H143" t="s">
        <v>48</v>
      </c>
      <c r="I143" t="s">
        <v>49</v>
      </c>
      <c r="J143" t="s">
        <v>50</v>
      </c>
      <c r="K143">
        <v>0</v>
      </c>
      <c r="L143">
        <v>0</v>
      </c>
      <c r="M143">
        <v>1</v>
      </c>
      <c r="N143" t="s">
        <v>65</v>
      </c>
      <c r="O143">
        <v>0</v>
      </c>
      <c r="P143">
        <v>1</v>
      </c>
      <c r="Q143">
        <v>1</v>
      </c>
      <c r="R143" t="s">
        <v>51</v>
      </c>
      <c r="S143">
        <v>0</v>
      </c>
      <c r="T143">
        <v>0</v>
      </c>
      <c r="U143">
        <v>1</v>
      </c>
      <c r="V143" t="s">
        <v>52</v>
      </c>
      <c r="W143">
        <v>1</v>
      </c>
      <c r="X143">
        <v>1</v>
      </c>
      <c r="Y143" t="s">
        <v>52</v>
      </c>
      <c r="Z143">
        <v>1</v>
      </c>
      <c r="AA143">
        <v>1</v>
      </c>
      <c r="AB143" t="s">
        <v>54</v>
      </c>
      <c r="AC143" t="s">
        <v>98</v>
      </c>
      <c r="AD143" t="s">
        <v>98</v>
      </c>
      <c r="AE143">
        <v>1</v>
      </c>
      <c r="AF143">
        <v>1</v>
      </c>
    </row>
    <row r="144" spans="1:32" x14ac:dyDescent="0.2">
      <c r="A144" t="s">
        <v>92</v>
      </c>
      <c r="B144" t="s">
        <v>167</v>
      </c>
      <c r="C144" t="s">
        <v>168</v>
      </c>
      <c r="D144" t="s">
        <v>95</v>
      </c>
      <c r="E144" t="s">
        <v>96</v>
      </c>
      <c r="F144" t="s">
        <v>212</v>
      </c>
      <c r="G144">
        <v>34</v>
      </c>
      <c r="H144" t="s">
        <v>56</v>
      </c>
      <c r="I144" t="s">
        <v>49</v>
      </c>
      <c r="J144" t="s">
        <v>50</v>
      </c>
      <c r="K144">
        <v>0</v>
      </c>
      <c r="L144">
        <v>0</v>
      </c>
      <c r="M144">
        <v>1</v>
      </c>
      <c r="N144" t="s">
        <v>65</v>
      </c>
      <c r="O144">
        <v>0</v>
      </c>
      <c r="P144">
        <v>1</v>
      </c>
      <c r="Q144">
        <v>1</v>
      </c>
      <c r="R144" t="s">
        <v>62</v>
      </c>
      <c r="S144">
        <v>1</v>
      </c>
      <c r="T144">
        <v>0</v>
      </c>
      <c r="U144">
        <v>1</v>
      </c>
      <c r="V144" t="s">
        <v>53</v>
      </c>
      <c r="W144">
        <v>0</v>
      </c>
      <c r="X144">
        <v>1</v>
      </c>
      <c r="Y144" t="s">
        <v>53</v>
      </c>
      <c r="Z144">
        <v>0</v>
      </c>
      <c r="AA144">
        <v>1</v>
      </c>
      <c r="AB144" t="s">
        <v>54</v>
      </c>
      <c r="AC144" t="s">
        <v>98</v>
      </c>
      <c r="AD144" t="s">
        <v>98</v>
      </c>
      <c r="AE144">
        <v>1</v>
      </c>
      <c r="AF144">
        <v>1</v>
      </c>
    </row>
    <row r="145" spans="1:32" x14ac:dyDescent="0.2">
      <c r="A145" t="s">
        <v>92</v>
      </c>
      <c r="B145" t="s">
        <v>167</v>
      </c>
      <c r="C145" t="s">
        <v>168</v>
      </c>
      <c r="D145" t="s">
        <v>95</v>
      </c>
      <c r="E145" t="s">
        <v>96</v>
      </c>
      <c r="F145" t="s">
        <v>213</v>
      </c>
      <c r="G145">
        <v>35</v>
      </c>
      <c r="H145" t="s">
        <v>56</v>
      </c>
      <c r="I145" t="s">
        <v>49</v>
      </c>
      <c r="J145" t="s">
        <v>50</v>
      </c>
      <c r="K145">
        <v>0</v>
      </c>
      <c r="L145">
        <v>0</v>
      </c>
      <c r="M145">
        <v>1</v>
      </c>
      <c r="N145" t="s">
        <v>65</v>
      </c>
      <c r="O145">
        <v>0</v>
      </c>
      <c r="P145">
        <v>1</v>
      </c>
      <c r="Q145">
        <v>1</v>
      </c>
      <c r="R145" t="s">
        <v>60</v>
      </c>
      <c r="S145">
        <v>0</v>
      </c>
      <c r="T145">
        <v>1</v>
      </c>
      <c r="U145">
        <v>1</v>
      </c>
      <c r="V145" t="s">
        <v>53</v>
      </c>
      <c r="W145">
        <v>0</v>
      </c>
      <c r="X145">
        <v>1</v>
      </c>
      <c r="Y145" t="s">
        <v>53</v>
      </c>
      <c r="Z145">
        <v>0</v>
      </c>
      <c r="AA145">
        <v>1</v>
      </c>
      <c r="AB145" t="s">
        <v>54</v>
      </c>
      <c r="AC145" t="s">
        <v>98</v>
      </c>
      <c r="AD145" t="s">
        <v>98</v>
      </c>
      <c r="AE145">
        <v>1</v>
      </c>
      <c r="AF145">
        <v>1</v>
      </c>
    </row>
    <row r="146" spans="1:32" x14ac:dyDescent="0.2">
      <c r="A146" t="s">
        <v>92</v>
      </c>
      <c r="B146" t="s">
        <v>167</v>
      </c>
      <c r="C146" t="s">
        <v>168</v>
      </c>
      <c r="D146" t="s">
        <v>95</v>
      </c>
      <c r="E146" t="s">
        <v>96</v>
      </c>
      <c r="F146" t="s">
        <v>214</v>
      </c>
      <c r="G146">
        <v>27</v>
      </c>
      <c r="H146" t="s">
        <v>56</v>
      </c>
      <c r="I146" t="s">
        <v>49</v>
      </c>
      <c r="J146" t="s">
        <v>50</v>
      </c>
      <c r="K146">
        <v>0</v>
      </c>
      <c r="L146">
        <v>0</v>
      </c>
      <c r="M146">
        <v>1</v>
      </c>
      <c r="O146">
        <v>0</v>
      </c>
      <c r="P146">
        <v>0</v>
      </c>
      <c r="Q146">
        <v>0</v>
      </c>
      <c r="R146" t="s">
        <v>60</v>
      </c>
      <c r="S146">
        <v>0</v>
      </c>
      <c r="T146">
        <v>1</v>
      </c>
      <c r="U146">
        <v>1</v>
      </c>
      <c r="V146" t="s">
        <v>53</v>
      </c>
      <c r="W146">
        <v>0</v>
      </c>
      <c r="X146">
        <v>1</v>
      </c>
      <c r="Y146" t="s">
        <v>53</v>
      </c>
      <c r="Z146">
        <v>0</v>
      </c>
      <c r="AA146">
        <v>1</v>
      </c>
      <c r="AB146" t="s">
        <v>54</v>
      </c>
      <c r="AC146" t="s">
        <v>98</v>
      </c>
      <c r="AD146" t="s">
        <v>98</v>
      </c>
      <c r="AE146">
        <v>1</v>
      </c>
      <c r="AF146">
        <v>1</v>
      </c>
    </row>
    <row r="147" spans="1:32" x14ac:dyDescent="0.2">
      <c r="A147" t="s">
        <v>92</v>
      </c>
      <c r="B147" t="s">
        <v>167</v>
      </c>
      <c r="C147" t="s">
        <v>168</v>
      </c>
      <c r="D147" t="s">
        <v>95</v>
      </c>
      <c r="E147" t="s">
        <v>96</v>
      </c>
      <c r="F147" t="s">
        <v>215</v>
      </c>
      <c r="G147">
        <v>32</v>
      </c>
      <c r="H147" t="s">
        <v>48</v>
      </c>
      <c r="I147" t="s">
        <v>49</v>
      </c>
      <c r="J147" t="s">
        <v>50</v>
      </c>
      <c r="K147">
        <v>0</v>
      </c>
      <c r="L147">
        <v>0</v>
      </c>
      <c r="M147">
        <v>1</v>
      </c>
      <c r="N147" t="s">
        <v>65</v>
      </c>
      <c r="O147">
        <v>0</v>
      </c>
      <c r="P147">
        <v>1</v>
      </c>
      <c r="Q147">
        <v>1</v>
      </c>
      <c r="R147" t="s">
        <v>60</v>
      </c>
      <c r="S147">
        <v>0</v>
      </c>
      <c r="T147">
        <v>1</v>
      </c>
      <c r="U147">
        <v>1</v>
      </c>
      <c r="V147" t="s">
        <v>53</v>
      </c>
      <c r="W147">
        <v>0</v>
      </c>
      <c r="X147">
        <v>1</v>
      </c>
      <c r="Y147" t="s">
        <v>53</v>
      </c>
      <c r="Z147">
        <v>0</v>
      </c>
      <c r="AA147">
        <v>1</v>
      </c>
      <c r="AB147" t="s">
        <v>54</v>
      </c>
      <c r="AC147" t="s">
        <v>98</v>
      </c>
      <c r="AD147" t="s">
        <v>98</v>
      </c>
      <c r="AE147">
        <v>1</v>
      </c>
      <c r="AF147">
        <v>1</v>
      </c>
    </row>
    <row r="148" spans="1:32" x14ac:dyDescent="0.2">
      <c r="A148" t="s">
        <v>92</v>
      </c>
      <c r="B148" t="s">
        <v>167</v>
      </c>
      <c r="C148" t="s">
        <v>168</v>
      </c>
      <c r="D148" t="s">
        <v>95</v>
      </c>
      <c r="E148" t="s">
        <v>96</v>
      </c>
      <c r="F148" t="s">
        <v>216</v>
      </c>
      <c r="G148">
        <v>25</v>
      </c>
      <c r="H148" t="s">
        <v>56</v>
      </c>
      <c r="I148" t="s">
        <v>67</v>
      </c>
      <c r="J148" t="s">
        <v>50</v>
      </c>
      <c r="K148">
        <v>0</v>
      </c>
      <c r="L148">
        <v>0</v>
      </c>
      <c r="M148">
        <v>1</v>
      </c>
      <c r="N148" t="s">
        <v>73</v>
      </c>
      <c r="O148">
        <v>1</v>
      </c>
      <c r="P148">
        <v>0</v>
      </c>
      <c r="Q148">
        <v>1</v>
      </c>
      <c r="R148" t="s">
        <v>62</v>
      </c>
      <c r="S148">
        <v>1</v>
      </c>
      <c r="T148">
        <v>0</v>
      </c>
      <c r="U148">
        <v>1</v>
      </c>
      <c r="V148" t="s">
        <v>53</v>
      </c>
      <c r="W148">
        <v>0</v>
      </c>
      <c r="X148">
        <v>1</v>
      </c>
      <c r="Y148" t="s">
        <v>52</v>
      </c>
      <c r="Z148">
        <v>1</v>
      </c>
      <c r="AA148">
        <v>1</v>
      </c>
      <c r="AB148" t="s">
        <v>54</v>
      </c>
      <c r="AC148" t="s">
        <v>98</v>
      </c>
      <c r="AD148" t="s">
        <v>98</v>
      </c>
      <c r="AE148">
        <v>1</v>
      </c>
      <c r="AF148">
        <v>1</v>
      </c>
    </row>
    <row r="149" spans="1:32" x14ac:dyDescent="0.2">
      <c r="A149" t="s">
        <v>92</v>
      </c>
      <c r="B149" t="s">
        <v>167</v>
      </c>
      <c r="C149" t="s">
        <v>168</v>
      </c>
      <c r="D149" t="s">
        <v>95</v>
      </c>
      <c r="E149" t="s">
        <v>96</v>
      </c>
      <c r="F149" t="s">
        <v>217</v>
      </c>
      <c r="G149">
        <v>51</v>
      </c>
      <c r="H149" t="s">
        <v>48</v>
      </c>
      <c r="I149" t="s">
        <v>70</v>
      </c>
      <c r="J149" t="s">
        <v>50</v>
      </c>
      <c r="K149">
        <v>0</v>
      </c>
      <c r="L149">
        <v>0</v>
      </c>
      <c r="M149">
        <v>1</v>
      </c>
      <c r="O149">
        <v>0</v>
      </c>
      <c r="P149">
        <v>0</v>
      </c>
      <c r="Q149">
        <v>0</v>
      </c>
      <c r="R149" t="s">
        <v>51</v>
      </c>
      <c r="S149">
        <v>0</v>
      </c>
      <c r="T149">
        <v>0</v>
      </c>
      <c r="U149">
        <v>1</v>
      </c>
      <c r="V149" t="s">
        <v>53</v>
      </c>
      <c r="W149">
        <v>0</v>
      </c>
      <c r="X149">
        <v>1</v>
      </c>
      <c r="Y149" t="s">
        <v>53</v>
      </c>
      <c r="Z149">
        <v>0</v>
      </c>
      <c r="AA149">
        <v>1</v>
      </c>
      <c r="AB149" t="s">
        <v>54</v>
      </c>
      <c r="AC149" t="s">
        <v>98</v>
      </c>
      <c r="AD149" t="s">
        <v>98</v>
      </c>
      <c r="AE149">
        <v>1</v>
      </c>
      <c r="AF149">
        <v>1</v>
      </c>
    </row>
    <row r="150" spans="1:32" x14ac:dyDescent="0.2">
      <c r="A150" t="s">
        <v>92</v>
      </c>
      <c r="B150" t="s">
        <v>167</v>
      </c>
      <c r="C150" t="s">
        <v>168</v>
      </c>
      <c r="D150" t="s">
        <v>95</v>
      </c>
      <c r="E150" t="s">
        <v>96</v>
      </c>
      <c r="F150" t="s">
        <v>218</v>
      </c>
      <c r="G150">
        <v>47</v>
      </c>
      <c r="H150" t="s">
        <v>56</v>
      </c>
      <c r="I150" t="s">
        <v>70</v>
      </c>
      <c r="J150" t="s">
        <v>50</v>
      </c>
      <c r="K150">
        <v>0</v>
      </c>
      <c r="L150">
        <v>0</v>
      </c>
      <c r="M150">
        <v>1</v>
      </c>
      <c r="O150">
        <v>0</v>
      </c>
      <c r="P150">
        <v>0</v>
      </c>
      <c r="Q150">
        <v>0</v>
      </c>
      <c r="R150" t="s">
        <v>51</v>
      </c>
      <c r="S150">
        <v>0</v>
      </c>
      <c r="T150">
        <v>0</v>
      </c>
      <c r="U150">
        <v>1</v>
      </c>
      <c r="V150" t="s">
        <v>53</v>
      </c>
      <c r="W150">
        <v>0</v>
      </c>
      <c r="X150">
        <v>1</v>
      </c>
      <c r="Y150" t="s">
        <v>52</v>
      </c>
      <c r="Z150">
        <v>1</v>
      </c>
      <c r="AA150">
        <v>1</v>
      </c>
      <c r="AB150" t="s">
        <v>54</v>
      </c>
      <c r="AC150" t="s">
        <v>98</v>
      </c>
      <c r="AD150" t="s">
        <v>98</v>
      </c>
      <c r="AE150">
        <v>1</v>
      </c>
      <c r="AF150">
        <v>1</v>
      </c>
    </row>
    <row r="151" spans="1:32" x14ac:dyDescent="0.2">
      <c r="A151" t="s">
        <v>92</v>
      </c>
      <c r="B151" t="s">
        <v>167</v>
      </c>
      <c r="C151" t="s">
        <v>168</v>
      </c>
      <c r="D151" t="s">
        <v>95</v>
      </c>
      <c r="E151" t="s">
        <v>96</v>
      </c>
      <c r="F151" t="s">
        <v>219</v>
      </c>
      <c r="G151">
        <v>40</v>
      </c>
      <c r="H151" t="s">
        <v>48</v>
      </c>
      <c r="I151" t="s">
        <v>64</v>
      </c>
      <c r="J151" t="s">
        <v>50</v>
      </c>
      <c r="K151">
        <v>0</v>
      </c>
      <c r="L151">
        <v>0</v>
      </c>
      <c r="M151">
        <v>1</v>
      </c>
      <c r="N151" t="s">
        <v>65</v>
      </c>
      <c r="O151">
        <v>0</v>
      </c>
      <c r="P151">
        <v>1</v>
      </c>
      <c r="Q151">
        <v>1</v>
      </c>
      <c r="R151" t="s">
        <v>62</v>
      </c>
      <c r="S151">
        <v>1</v>
      </c>
      <c r="T151">
        <v>0</v>
      </c>
      <c r="U151">
        <v>1</v>
      </c>
      <c r="V151" t="s">
        <v>53</v>
      </c>
      <c r="W151">
        <v>0</v>
      </c>
      <c r="X151">
        <v>1</v>
      </c>
      <c r="Y151" t="s">
        <v>52</v>
      </c>
      <c r="Z151">
        <v>1</v>
      </c>
      <c r="AA151">
        <v>1</v>
      </c>
      <c r="AB151" t="s">
        <v>54</v>
      </c>
      <c r="AC151" t="s">
        <v>98</v>
      </c>
      <c r="AD151" t="s">
        <v>98</v>
      </c>
      <c r="AE151">
        <v>1</v>
      </c>
      <c r="AF151">
        <v>1</v>
      </c>
    </row>
    <row r="152" spans="1:32" x14ac:dyDescent="0.2">
      <c r="A152" t="s">
        <v>92</v>
      </c>
      <c r="B152" t="s">
        <v>167</v>
      </c>
      <c r="C152" t="s">
        <v>168</v>
      </c>
      <c r="D152" t="s">
        <v>95</v>
      </c>
      <c r="E152" t="s">
        <v>96</v>
      </c>
      <c r="F152" t="s">
        <v>220</v>
      </c>
      <c r="G152">
        <v>55</v>
      </c>
      <c r="H152" t="s">
        <v>56</v>
      </c>
      <c r="I152" t="s">
        <v>70</v>
      </c>
      <c r="J152" t="s">
        <v>59</v>
      </c>
      <c r="K152">
        <v>1</v>
      </c>
      <c r="L152">
        <v>0</v>
      </c>
      <c r="M152">
        <v>1</v>
      </c>
      <c r="O152">
        <v>0</v>
      </c>
      <c r="P152">
        <v>0</v>
      </c>
      <c r="Q152">
        <v>0</v>
      </c>
      <c r="R152" t="s">
        <v>62</v>
      </c>
      <c r="S152">
        <v>1</v>
      </c>
      <c r="T152">
        <v>0</v>
      </c>
      <c r="U152">
        <v>1</v>
      </c>
      <c r="V152" t="s">
        <v>53</v>
      </c>
      <c r="W152">
        <v>0</v>
      </c>
      <c r="X152">
        <v>1</v>
      </c>
      <c r="Y152" t="s">
        <v>53</v>
      </c>
      <c r="Z152">
        <v>0</v>
      </c>
      <c r="AA152">
        <v>1</v>
      </c>
      <c r="AB152" t="s">
        <v>54</v>
      </c>
      <c r="AC152" t="s">
        <v>98</v>
      </c>
      <c r="AD152" t="s">
        <v>98</v>
      </c>
      <c r="AE152">
        <v>1</v>
      </c>
      <c r="AF152">
        <v>1</v>
      </c>
    </row>
    <row r="153" spans="1:32" x14ac:dyDescent="0.2">
      <c r="A153" t="s">
        <v>92</v>
      </c>
      <c r="B153" t="s">
        <v>167</v>
      </c>
      <c r="C153" t="s">
        <v>168</v>
      </c>
      <c r="D153" t="s">
        <v>95</v>
      </c>
      <c r="E153" t="s">
        <v>96</v>
      </c>
      <c r="F153" t="s">
        <v>221</v>
      </c>
      <c r="G153">
        <v>24</v>
      </c>
      <c r="H153" t="s">
        <v>48</v>
      </c>
      <c r="I153" t="s">
        <v>67</v>
      </c>
      <c r="J153" t="s">
        <v>50</v>
      </c>
      <c r="K153">
        <v>0</v>
      </c>
      <c r="L153">
        <v>0</v>
      </c>
      <c r="M153">
        <v>1</v>
      </c>
      <c r="N153" t="s">
        <v>73</v>
      </c>
      <c r="O153">
        <v>1</v>
      </c>
      <c r="P153">
        <v>0</v>
      </c>
      <c r="Q153">
        <v>1</v>
      </c>
      <c r="R153" t="s">
        <v>60</v>
      </c>
      <c r="S153">
        <v>0</v>
      </c>
      <c r="T153">
        <v>1</v>
      </c>
      <c r="U153">
        <v>1</v>
      </c>
      <c r="V153" t="s">
        <v>52</v>
      </c>
      <c r="W153">
        <v>1</v>
      </c>
      <c r="X153">
        <v>1</v>
      </c>
      <c r="Y153" t="s">
        <v>52</v>
      </c>
      <c r="Z153">
        <v>1</v>
      </c>
      <c r="AA153">
        <v>1</v>
      </c>
      <c r="AB153" t="s">
        <v>54</v>
      </c>
      <c r="AC153" t="s">
        <v>98</v>
      </c>
      <c r="AD153" t="s">
        <v>98</v>
      </c>
      <c r="AE153">
        <v>1</v>
      </c>
      <c r="AF153">
        <v>1</v>
      </c>
    </row>
    <row r="154" spans="1:32" x14ac:dyDescent="0.2">
      <c r="A154" t="s">
        <v>92</v>
      </c>
      <c r="B154" t="s">
        <v>167</v>
      </c>
      <c r="C154" t="s">
        <v>168</v>
      </c>
      <c r="D154" t="s">
        <v>95</v>
      </c>
      <c r="E154" t="s">
        <v>96</v>
      </c>
      <c r="F154" t="s">
        <v>222</v>
      </c>
      <c r="G154">
        <v>35</v>
      </c>
      <c r="H154" t="s">
        <v>48</v>
      </c>
      <c r="I154" t="s">
        <v>49</v>
      </c>
      <c r="J154" t="s">
        <v>50</v>
      </c>
      <c r="K154">
        <v>0</v>
      </c>
      <c r="L154">
        <v>0</v>
      </c>
      <c r="M154">
        <v>1</v>
      </c>
      <c r="N154" t="s">
        <v>65</v>
      </c>
      <c r="O154">
        <v>0</v>
      </c>
      <c r="P154">
        <v>1</v>
      </c>
      <c r="Q154">
        <v>1</v>
      </c>
      <c r="R154" t="s">
        <v>60</v>
      </c>
      <c r="S154">
        <v>0</v>
      </c>
      <c r="T154">
        <v>1</v>
      </c>
      <c r="U154">
        <v>1</v>
      </c>
      <c r="V154" t="s">
        <v>53</v>
      </c>
      <c r="W154">
        <v>0</v>
      </c>
      <c r="X154">
        <v>1</v>
      </c>
      <c r="Y154" t="s">
        <v>53</v>
      </c>
      <c r="Z154">
        <v>0</v>
      </c>
      <c r="AA154">
        <v>1</v>
      </c>
      <c r="AB154" t="s">
        <v>54</v>
      </c>
      <c r="AC154" t="s">
        <v>98</v>
      </c>
      <c r="AD154" t="s">
        <v>98</v>
      </c>
      <c r="AE154">
        <v>1</v>
      </c>
      <c r="AF154">
        <v>1</v>
      </c>
    </row>
    <row r="155" spans="1:32" x14ac:dyDescent="0.2">
      <c r="A155" t="s">
        <v>92</v>
      </c>
      <c r="B155" t="s">
        <v>167</v>
      </c>
      <c r="C155" t="s">
        <v>168</v>
      </c>
      <c r="D155" t="s">
        <v>95</v>
      </c>
      <c r="E155" t="s">
        <v>96</v>
      </c>
      <c r="F155" t="s">
        <v>223</v>
      </c>
      <c r="G155">
        <v>30</v>
      </c>
      <c r="H155" t="s">
        <v>48</v>
      </c>
      <c r="I155" t="s">
        <v>49</v>
      </c>
      <c r="J155" t="s">
        <v>50</v>
      </c>
      <c r="K155">
        <v>0</v>
      </c>
      <c r="L155">
        <v>0</v>
      </c>
      <c r="M155">
        <v>1</v>
      </c>
      <c r="N155" t="s">
        <v>65</v>
      </c>
      <c r="O155">
        <v>0</v>
      </c>
      <c r="P155">
        <v>1</v>
      </c>
      <c r="Q155">
        <v>1</v>
      </c>
      <c r="R155" t="s">
        <v>62</v>
      </c>
      <c r="S155">
        <v>1</v>
      </c>
      <c r="T155">
        <v>0</v>
      </c>
      <c r="U155">
        <v>1</v>
      </c>
      <c r="V155" t="s">
        <v>53</v>
      </c>
      <c r="W155">
        <v>0</v>
      </c>
      <c r="X155">
        <v>1</v>
      </c>
      <c r="Y155" t="s">
        <v>52</v>
      </c>
      <c r="Z155">
        <v>1</v>
      </c>
      <c r="AA155">
        <v>1</v>
      </c>
      <c r="AB155" t="s">
        <v>54</v>
      </c>
      <c r="AC155" t="s">
        <v>98</v>
      </c>
      <c r="AD155" t="s">
        <v>98</v>
      </c>
      <c r="AE155">
        <v>1</v>
      </c>
      <c r="AF155">
        <v>1</v>
      </c>
    </row>
    <row r="156" spans="1:32" x14ac:dyDescent="0.2">
      <c r="A156" t="s">
        <v>92</v>
      </c>
      <c r="B156" t="s">
        <v>167</v>
      </c>
      <c r="C156" t="s">
        <v>168</v>
      </c>
      <c r="D156" t="s">
        <v>95</v>
      </c>
      <c r="E156" t="s">
        <v>96</v>
      </c>
      <c r="F156" t="s">
        <v>224</v>
      </c>
      <c r="G156">
        <v>39</v>
      </c>
      <c r="H156" t="s">
        <v>56</v>
      </c>
      <c r="I156" t="s">
        <v>64</v>
      </c>
      <c r="J156" t="s">
        <v>50</v>
      </c>
      <c r="K156">
        <v>0</v>
      </c>
      <c r="L156">
        <v>0</v>
      </c>
      <c r="M156">
        <v>1</v>
      </c>
      <c r="N156" t="s">
        <v>65</v>
      </c>
      <c r="O156">
        <v>0</v>
      </c>
      <c r="P156">
        <v>1</v>
      </c>
      <c r="Q156">
        <v>1</v>
      </c>
      <c r="R156" t="s">
        <v>62</v>
      </c>
      <c r="S156">
        <v>1</v>
      </c>
      <c r="T156">
        <v>0</v>
      </c>
      <c r="U156">
        <v>1</v>
      </c>
      <c r="V156" t="s">
        <v>53</v>
      </c>
      <c r="W156">
        <v>0</v>
      </c>
      <c r="X156">
        <v>1</v>
      </c>
      <c r="Y156" t="s">
        <v>53</v>
      </c>
      <c r="Z156">
        <v>0</v>
      </c>
      <c r="AA156">
        <v>1</v>
      </c>
      <c r="AB156" t="s">
        <v>54</v>
      </c>
      <c r="AC156" t="s">
        <v>98</v>
      </c>
      <c r="AD156" t="s">
        <v>98</v>
      </c>
      <c r="AE156">
        <v>1</v>
      </c>
      <c r="AF156">
        <v>1</v>
      </c>
    </row>
    <row r="157" spans="1:32" x14ac:dyDescent="0.2">
      <c r="A157" t="s">
        <v>92</v>
      </c>
      <c r="B157" t="s">
        <v>167</v>
      </c>
      <c r="C157" t="s">
        <v>168</v>
      </c>
      <c r="D157" t="s">
        <v>95</v>
      </c>
      <c r="E157" t="s">
        <v>96</v>
      </c>
      <c r="F157" t="s">
        <v>225</v>
      </c>
      <c r="G157">
        <v>51</v>
      </c>
      <c r="H157" t="s">
        <v>56</v>
      </c>
      <c r="I157" t="s">
        <v>70</v>
      </c>
      <c r="J157" t="s">
        <v>50</v>
      </c>
      <c r="K157">
        <v>0</v>
      </c>
      <c r="L157">
        <v>0</v>
      </c>
      <c r="M157">
        <v>1</v>
      </c>
      <c r="O157">
        <v>0</v>
      </c>
      <c r="P157">
        <v>0</v>
      </c>
      <c r="Q157">
        <v>0</v>
      </c>
      <c r="R157" t="s">
        <v>51</v>
      </c>
      <c r="S157">
        <v>0</v>
      </c>
      <c r="T157">
        <v>0</v>
      </c>
      <c r="U157">
        <v>1</v>
      </c>
      <c r="V157" t="s">
        <v>52</v>
      </c>
      <c r="W157">
        <v>1</v>
      </c>
      <c r="X157">
        <v>1</v>
      </c>
      <c r="Y157" t="s">
        <v>53</v>
      </c>
      <c r="Z157">
        <v>0</v>
      </c>
      <c r="AA157">
        <v>1</v>
      </c>
      <c r="AB157" t="s">
        <v>54</v>
      </c>
      <c r="AC157" t="s">
        <v>98</v>
      </c>
      <c r="AD157" t="s">
        <v>98</v>
      </c>
      <c r="AE157">
        <v>1</v>
      </c>
      <c r="AF157">
        <v>1</v>
      </c>
    </row>
    <row r="158" spans="1:32" x14ac:dyDescent="0.2">
      <c r="A158" t="s">
        <v>92</v>
      </c>
      <c r="B158" t="s">
        <v>167</v>
      </c>
      <c r="C158" t="s">
        <v>168</v>
      </c>
      <c r="D158" t="s">
        <v>112</v>
      </c>
      <c r="E158" t="s">
        <v>226</v>
      </c>
      <c r="F158" t="s">
        <v>227</v>
      </c>
      <c r="G158">
        <v>39</v>
      </c>
      <c r="H158" t="s">
        <v>48</v>
      </c>
      <c r="I158" t="s">
        <v>64</v>
      </c>
      <c r="J158" t="s">
        <v>50</v>
      </c>
      <c r="K158">
        <v>0</v>
      </c>
      <c r="L158">
        <v>0</v>
      </c>
      <c r="M158">
        <v>1</v>
      </c>
      <c r="N158" t="s">
        <v>65</v>
      </c>
      <c r="O158">
        <v>0</v>
      </c>
      <c r="P158">
        <v>1</v>
      </c>
      <c r="Q158">
        <v>1</v>
      </c>
      <c r="R158" t="s">
        <v>62</v>
      </c>
      <c r="S158">
        <v>1</v>
      </c>
      <c r="T158">
        <v>0</v>
      </c>
      <c r="U158">
        <v>1</v>
      </c>
      <c r="V158" t="s">
        <v>53</v>
      </c>
      <c r="W158">
        <v>0</v>
      </c>
      <c r="X158">
        <v>1</v>
      </c>
      <c r="Y158" t="s">
        <v>53</v>
      </c>
      <c r="Z158">
        <v>0</v>
      </c>
      <c r="AA158">
        <v>1</v>
      </c>
      <c r="AB158" t="s">
        <v>54</v>
      </c>
      <c r="AC158" t="s">
        <v>98</v>
      </c>
      <c r="AD158" t="s">
        <v>98</v>
      </c>
      <c r="AE158">
        <v>1</v>
      </c>
      <c r="AF158">
        <v>1</v>
      </c>
    </row>
    <row r="159" spans="1:32" x14ac:dyDescent="0.2">
      <c r="A159" t="s">
        <v>92</v>
      </c>
      <c r="B159" t="s">
        <v>167</v>
      </c>
      <c r="C159" t="s">
        <v>168</v>
      </c>
      <c r="D159" t="s">
        <v>95</v>
      </c>
      <c r="E159" t="s">
        <v>96</v>
      </c>
      <c r="F159" t="s">
        <v>228</v>
      </c>
      <c r="G159">
        <v>33</v>
      </c>
      <c r="H159" t="s">
        <v>48</v>
      </c>
      <c r="I159" t="s">
        <v>49</v>
      </c>
      <c r="J159" t="s">
        <v>50</v>
      </c>
      <c r="K159">
        <v>0</v>
      </c>
      <c r="L159">
        <v>0</v>
      </c>
      <c r="M159">
        <v>1</v>
      </c>
      <c r="O159">
        <v>0</v>
      </c>
      <c r="P159">
        <v>0</v>
      </c>
      <c r="Q159">
        <v>0</v>
      </c>
      <c r="R159" t="s">
        <v>62</v>
      </c>
      <c r="S159">
        <v>1</v>
      </c>
      <c r="T159">
        <v>0</v>
      </c>
      <c r="U159">
        <v>1</v>
      </c>
      <c r="V159" t="s">
        <v>52</v>
      </c>
      <c r="W159">
        <v>1</v>
      </c>
      <c r="X159">
        <v>1</v>
      </c>
      <c r="Y159" t="s">
        <v>53</v>
      </c>
      <c r="Z159">
        <v>0</v>
      </c>
      <c r="AA159">
        <v>1</v>
      </c>
      <c r="AB159" t="s">
        <v>54</v>
      </c>
      <c r="AC159" t="s">
        <v>98</v>
      </c>
      <c r="AD159" t="s">
        <v>98</v>
      </c>
      <c r="AE159">
        <v>1</v>
      </c>
      <c r="AF159">
        <v>1</v>
      </c>
    </row>
    <row r="160" spans="1:32" x14ac:dyDescent="0.2">
      <c r="A160" t="s">
        <v>92</v>
      </c>
      <c r="B160" t="s">
        <v>167</v>
      </c>
      <c r="C160" t="s">
        <v>168</v>
      </c>
      <c r="D160" t="s">
        <v>112</v>
      </c>
      <c r="E160" t="s">
        <v>113</v>
      </c>
      <c r="F160" t="s">
        <v>229</v>
      </c>
      <c r="G160">
        <v>45</v>
      </c>
      <c r="H160" t="s">
        <v>48</v>
      </c>
      <c r="I160" t="s">
        <v>64</v>
      </c>
      <c r="J160" t="s">
        <v>50</v>
      </c>
      <c r="K160">
        <v>0</v>
      </c>
      <c r="L160">
        <v>0</v>
      </c>
      <c r="M160">
        <v>1</v>
      </c>
      <c r="O160">
        <v>0</v>
      </c>
      <c r="P160">
        <v>0</v>
      </c>
      <c r="Q160">
        <v>0</v>
      </c>
      <c r="R160" t="s">
        <v>62</v>
      </c>
      <c r="S160">
        <v>1</v>
      </c>
      <c r="T160">
        <v>0</v>
      </c>
      <c r="U160">
        <v>1</v>
      </c>
      <c r="V160" t="s">
        <v>53</v>
      </c>
      <c r="W160">
        <v>0</v>
      </c>
      <c r="X160">
        <v>1</v>
      </c>
      <c r="Y160" t="s">
        <v>53</v>
      </c>
      <c r="Z160">
        <v>0</v>
      </c>
      <c r="AA160">
        <v>1</v>
      </c>
      <c r="AB160" t="s">
        <v>54</v>
      </c>
      <c r="AC160" t="s">
        <v>98</v>
      </c>
      <c r="AD160" t="s">
        <v>98</v>
      </c>
      <c r="AE160">
        <v>1</v>
      </c>
      <c r="AF160">
        <v>1</v>
      </c>
    </row>
    <row r="161" spans="1:32" x14ac:dyDescent="0.2">
      <c r="A161" t="s">
        <v>92</v>
      </c>
      <c r="B161" t="s">
        <v>167</v>
      </c>
      <c r="C161" t="s">
        <v>168</v>
      </c>
      <c r="D161" t="s">
        <v>95</v>
      </c>
      <c r="E161" t="s">
        <v>96</v>
      </c>
      <c r="F161" t="s">
        <v>230</v>
      </c>
      <c r="G161">
        <v>45</v>
      </c>
      <c r="H161" t="s">
        <v>56</v>
      </c>
      <c r="I161" t="s">
        <v>64</v>
      </c>
      <c r="J161" t="s">
        <v>144</v>
      </c>
      <c r="K161">
        <v>0</v>
      </c>
      <c r="L161">
        <v>1</v>
      </c>
      <c r="M161">
        <v>1</v>
      </c>
      <c r="N161" t="s">
        <v>73</v>
      </c>
      <c r="O161">
        <v>1</v>
      </c>
      <c r="P161">
        <v>0</v>
      </c>
      <c r="Q161">
        <v>1</v>
      </c>
      <c r="R161" t="s">
        <v>60</v>
      </c>
      <c r="S161">
        <v>0</v>
      </c>
      <c r="T161">
        <v>1</v>
      </c>
      <c r="U161">
        <v>1</v>
      </c>
      <c r="V161" t="s">
        <v>52</v>
      </c>
      <c r="W161">
        <v>1</v>
      </c>
      <c r="X161">
        <v>1</v>
      </c>
      <c r="Y161" t="s">
        <v>52</v>
      </c>
      <c r="Z161">
        <v>1</v>
      </c>
      <c r="AA161">
        <v>1</v>
      </c>
      <c r="AB161" t="s">
        <v>54</v>
      </c>
      <c r="AC161" t="s">
        <v>98</v>
      </c>
      <c r="AD161" t="s">
        <v>98</v>
      </c>
      <c r="AE161">
        <v>1</v>
      </c>
      <c r="AF161">
        <v>1</v>
      </c>
    </row>
    <row r="162" spans="1:32" x14ac:dyDescent="0.2">
      <c r="A162" t="s">
        <v>92</v>
      </c>
      <c r="B162" t="s">
        <v>167</v>
      </c>
      <c r="C162" t="s">
        <v>168</v>
      </c>
      <c r="D162" t="s">
        <v>95</v>
      </c>
      <c r="E162" t="s">
        <v>96</v>
      </c>
      <c r="F162" t="s">
        <v>231</v>
      </c>
      <c r="G162">
        <v>42</v>
      </c>
      <c r="H162" t="s">
        <v>48</v>
      </c>
      <c r="I162" t="s">
        <v>64</v>
      </c>
      <c r="J162" t="s">
        <v>50</v>
      </c>
      <c r="K162">
        <v>0</v>
      </c>
      <c r="L162">
        <v>0</v>
      </c>
      <c r="M162">
        <v>1</v>
      </c>
      <c r="N162" t="s">
        <v>65</v>
      </c>
      <c r="O162">
        <v>0</v>
      </c>
      <c r="P162">
        <v>1</v>
      </c>
      <c r="Q162">
        <v>1</v>
      </c>
      <c r="R162" t="s">
        <v>62</v>
      </c>
      <c r="S162">
        <v>1</v>
      </c>
      <c r="T162">
        <v>0</v>
      </c>
      <c r="U162">
        <v>1</v>
      </c>
      <c r="V162" t="s">
        <v>53</v>
      </c>
      <c r="W162">
        <v>0</v>
      </c>
      <c r="X162">
        <v>1</v>
      </c>
      <c r="Y162" t="s">
        <v>52</v>
      </c>
      <c r="Z162">
        <v>1</v>
      </c>
      <c r="AA162">
        <v>1</v>
      </c>
      <c r="AB162" t="s">
        <v>54</v>
      </c>
      <c r="AC162" t="s">
        <v>98</v>
      </c>
      <c r="AD162" t="s">
        <v>98</v>
      </c>
      <c r="AE162">
        <v>1</v>
      </c>
      <c r="AF162">
        <v>1</v>
      </c>
    </row>
    <row r="163" spans="1:32" x14ac:dyDescent="0.2">
      <c r="A163" t="s">
        <v>92</v>
      </c>
      <c r="B163" t="s">
        <v>167</v>
      </c>
      <c r="C163" t="s">
        <v>168</v>
      </c>
      <c r="D163" t="s">
        <v>95</v>
      </c>
      <c r="E163" t="s">
        <v>96</v>
      </c>
      <c r="F163" t="s">
        <v>232</v>
      </c>
      <c r="G163">
        <v>57</v>
      </c>
      <c r="H163" t="s">
        <v>48</v>
      </c>
      <c r="I163" t="s">
        <v>85</v>
      </c>
      <c r="J163" t="s">
        <v>144</v>
      </c>
      <c r="K163">
        <v>0</v>
      </c>
      <c r="L163">
        <v>1</v>
      </c>
      <c r="M163">
        <v>1</v>
      </c>
      <c r="N163" t="s">
        <v>73</v>
      </c>
      <c r="O163">
        <v>1</v>
      </c>
      <c r="P163">
        <v>0</v>
      </c>
      <c r="Q163">
        <v>1</v>
      </c>
      <c r="R163" t="s">
        <v>60</v>
      </c>
      <c r="S163">
        <v>0</v>
      </c>
      <c r="T163">
        <v>1</v>
      </c>
      <c r="U163">
        <v>1</v>
      </c>
      <c r="V163" t="s">
        <v>53</v>
      </c>
      <c r="W163">
        <v>0</v>
      </c>
      <c r="X163">
        <v>1</v>
      </c>
      <c r="Y163" t="s">
        <v>53</v>
      </c>
      <c r="Z163">
        <v>0</v>
      </c>
      <c r="AA163">
        <v>1</v>
      </c>
      <c r="AB163" t="s">
        <v>54</v>
      </c>
      <c r="AC163" t="s">
        <v>98</v>
      </c>
      <c r="AD163" t="s">
        <v>98</v>
      </c>
      <c r="AE163">
        <v>1</v>
      </c>
      <c r="AF163">
        <v>1</v>
      </c>
    </row>
    <row r="164" spans="1:32" x14ac:dyDescent="0.2">
      <c r="A164" t="s">
        <v>92</v>
      </c>
      <c r="B164" t="s">
        <v>167</v>
      </c>
      <c r="C164" t="s">
        <v>168</v>
      </c>
      <c r="D164" t="s">
        <v>95</v>
      </c>
      <c r="E164" t="s">
        <v>96</v>
      </c>
      <c r="F164" t="s">
        <v>233</v>
      </c>
      <c r="G164">
        <v>33</v>
      </c>
      <c r="H164" t="s">
        <v>48</v>
      </c>
      <c r="I164" t="s">
        <v>49</v>
      </c>
      <c r="J164" t="s">
        <v>50</v>
      </c>
      <c r="K164">
        <v>0</v>
      </c>
      <c r="L164">
        <v>0</v>
      </c>
      <c r="M164">
        <v>1</v>
      </c>
      <c r="O164">
        <v>0</v>
      </c>
      <c r="P164">
        <v>0</v>
      </c>
      <c r="Q164">
        <v>0</v>
      </c>
      <c r="R164" t="s">
        <v>62</v>
      </c>
      <c r="S164">
        <v>1</v>
      </c>
      <c r="T164">
        <v>0</v>
      </c>
      <c r="U164">
        <v>1</v>
      </c>
      <c r="V164" t="s">
        <v>52</v>
      </c>
      <c r="W164">
        <v>1</v>
      </c>
      <c r="X164">
        <v>1</v>
      </c>
      <c r="Y164" t="s">
        <v>52</v>
      </c>
      <c r="Z164">
        <v>1</v>
      </c>
      <c r="AA164">
        <v>1</v>
      </c>
      <c r="AB164" t="s">
        <v>54</v>
      </c>
      <c r="AC164" t="s">
        <v>98</v>
      </c>
      <c r="AD164" t="s">
        <v>98</v>
      </c>
      <c r="AE164">
        <v>1</v>
      </c>
      <c r="AF164">
        <v>1</v>
      </c>
    </row>
    <row r="165" spans="1:32" x14ac:dyDescent="0.2">
      <c r="A165" t="s">
        <v>92</v>
      </c>
      <c r="B165" t="s">
        <v>167</v>
      </c>
      <c r="C165" t="s">
        <v>168</v>
      </c>
      <c r="D165" t="s">
        <v>95</v>
      </c>
      <c r="E165" t="s">
        <v>96</v>
      </c>
      <c r="F165" t="s">
        <v>234</v>
      </c>
      <c r="G165">
        <v>50</v>
      </c>
      <c r="H165" t="s">
        <v>56</v>
      </c>
      <c r="I165" t="s">
        <v>70</v>
      </c>
      <c r="J165" t="s">
        <v>50</v>
      </c>
      <c r="K165">
        <v>0</v>
      </c>
      <c r="L165">
        <v>0</v>
      </c>
      <c r="M165">
        <v>1</v>
      </c>
      <c r="N165" t="s">
        <v>73</v>
      </c>
      <c r="O165">
        <v>1</v>
      </c>
      <c r="P165">
        <v>0</v>
      </c>
      <c r="Q165">
        <v>1</v>
      </c>
      <c r="R165" t="s">
        <v>51</v>
      </c>
      <c r="S165">
        <v>0</v>
      </c>
      <c r="T165">
        <v>0</v>
      </c>
      <c r="U165">
        <v>1</v>
      </c>
      <c r="V165" t="s">
        <v>53</v>
      </c>
      <c r="W165">
        <v>0</v>
      </c>
      <c r="X165">
        <v>1</v>
      </c>
      <c r="Y165" t="s">
        <v>52</v>
      </c>
      <c r="Z165">
        <v>1</v>
      </c>
      <c r="AA165">
        <v>1</v>
      </c>
      <c r="AB165" t="s">
        <v>54</v>
      </c>
      <c r="AC165" t="s">
        <v>98</v>
      </c>
      <c r="AD165" t="s">
        <v>98</v>
      </c>
      <c r="AE165">
        <v>1</v>
      </c>
      <c r="AF165">
        <v>1</v>
      </c>
    </row>
    <row r="166" spans="1:32" x14ac:dyDescent="0.2">
      <c r="A166" t="s">
        <v>92</v>
      </c>
      <c r="B166" t="s">
        <v>167</v>
      </c>
      <c r="C166" t="s">
        <v>168</v>
      </c>
      <c r="D166" t="s">
        <v>95</v>
      </c>
      <c r="E166" t="s">
        <v>96</v>
      </c>
      <c r="F166" t="s">
        <v>235</v>
      </c>
      <c r="G166">
        <v>37</v>
      </c>
      <c r="H166" t="s">
        <v>48</v>
      </c>
      <c r="I166" t="s">
        <v>64</v>
      </c>
      <c r="J166" t="s">
        <v>50</v>
      </c>
      <c r="K166">
        <v>0</v>
      </c>
      <c r="L166">
        <v>0</v>
      </c>
      <c r="M166">
        <v>1</v>
      </c>
      <c r="O166">
        <v>0</v>
      </c>
      <c r="P166">
        <v>0</v>
      </c>
      <c r="Q166">
        <v>0</v>
      </c>
      <c r="R166" t="s">
        <v>62</v>
      </c>
      <c r="S166">
        <v>1</v>
      </c>
      <c r="T166">
        <v>0</v>
      </c>
      <c r="U166">
        <v>1</v>
      </c>
      <c r="V166" t="s">
        <v>53</v>
      </c>
      <c r="W166">
        <v>0</v>
      </c>
      <c r="X166">
        <v>1</v>
      </c>
      <c r="Y166" t="s">
        <v>53</v>
      </c>
      <c r="Z166">
        <v>0</v>
      </c>
      <c r="AA166">
        <v>1</v>
      </c>
      <c r="AB166" t="s">
        <v>54</v>
      </c>
      <c r="AC166" t="s">
        <v>98</v>
      </c>
      <c r="AD166" t="s">
        <v>98</v>
      </c>
      <c r="AE166">
        <v>1</v>
      </c>
      <c r="AF166">
        <v>1</v>
      </c>
    </row>
    <row r="167" spans="1:32" x14ac:dyDescent="0.2">
      <c r="A167" t="s">
        <v>92</v>
      </c>
      <c r="B167" t="s">
        <v>167</v>
      </c>
      <c r="C167" t="s">
        <v>168</v>
      </c>
      <c r="D167" t="s">
        <v>95</v>
      </c>
      <c r="E167" t="s">
        <v>96</v>
      </c>
      <c r="F167" t="s">
        <v>236</v>
      </c>
      <c r="G167">
        <v>39</v>
      </c>
      <c r="H167" t="s">
        <v>56</v>
      </c>
      <c r="I167" t="s">
        <v>64</v>
      </c>
      <c r="J167" t="s">
        <v>144</v>
      </c>
      <c r="K167">
        <v>0</v>
      </c>
      <c r="L167">
        <v>1</v>
      </c>
      <c r="M167">
        <v>1</v>
      </c>
      <c r="N167" t="s">
        <v>73</v>
      </c>
      <c r="O167">
        <v>1</v>
      </c>
      <c r="P167">
        <v>0</v>
      </c>
      <c r="Q167">
        <v>1</v>
      </c>
      <c r="R167" t="s">
        <v>60</v>
      </c>
      <c r="S167">
        <v>0</v>
      </c>
      <c r="T167">
        <v>1</v>
      </c>
      <c r="U167">
        <v>1</v>
      </c>
      <c r="V167" t="s">
        <v>53</v>
      </c>
      <c r="W167">
        <v>0</v>
      </c>
      <c r="X167">
        <v>1</v>
      </c>
      <c r="Y167" t="s">
        <v>53</v>
      </c>
      <c r="Z167">
        <v>0</v>
      </c>
      <c r="AA167">
        <v>1</v>
      </c>
      <c r="AB167" t="s">
        <v>54</v>
      </c>
      <c r="AC167" t="s">
        <v>98</v>
      </c>
      <c r="AD167" t="s">
        <v>98</v>
      </c>
      <c r="AE167">
        <v>1</v>
      </c>
      <c r="AF167">
        <v>1</v>
      </c>
    </row>
    <row r="168" spans="1:32" x14ac:dyDescent="0.2">
      <c r="A168" t="s">
        <v>92</v>
      </c>
      <c r="B168" t="s">
        <v>167</v>
      </c>
      <c r="C168" t="s">
        <v>168</v>
      </c>
      <c r="D168" t="s">
        <v>95</v>
      </c>
      <c r="E168" t="s">
        <v>96</v>
      </c>
      <c r="F168" t="s">
        <v>237</v>
      </c>
      <c r="G168">
        <v>55</v>
      </c>
      <c r="H168" t="s">
        <v>48</v>
      </c>
      <c r="I168" t="s">
        <v>70</v>
      </c>
      <c r="J168" t="s">
        <v>144</v>
      </c>
      <c r="K168">
        <v>0</v>
      </c>
      <c r="L168">
        <v>1</v>
      </c>
      <c r="M168">
        <v>1</v>
      </c>
      <c r="O168">
        <v>0</v>
      </c>
      <c r="P168">
        <v>0</v>
      </c>
      <c r="Q168">
        <v>0</v>
      </c>
      <c r="R168" t="s">
        <v>60</v>
      </c>
      <c r="S168">
        <v>0</v>
      </c>
      <c r="T168">
        <v>1</v>
      </c>
      <c r="U168">
        <v>1</v>
      </c>
      <c r="V168" t="s">
        <v>52</v>
      </c>
      <c r="W168">
        <v>1</v>
      </c>
      <c r="X168">
        <v>1</v>
      </c>
      <c r="Y168" t="s">
        <v>52</v>
      </c>
      <c r="Z168">
        <v>1</v>
      </c>
      <c r="AA168">
        <v>1</v>
      </c>
      <c r="AB168" t="s">
        <v>54</v>
      </c>
      <c r="AC168" t="s">
        <v>98</v>
      </c>
      <c r="AD168" t="s">
        <v>98</v>
      </c>
      <c r="AE168">
        <v>1</v>
      </c>
      <c r="AF168">
        <v>1</v>
      </c>
    </row>
    <row r="169" spans="1:32" x14ac:dyDescent="0.2">
      <c r="A169" t="s">
        <v>92</v>
      </c>
      <c r="B169" t="s">
        <v>167</v>
      </c>
      <c r="C169" t="s">
        <v>168</v>
      </c>
      <c r="D169" t="s">
        <v>95</v>
      </c>
      <c r="E169" t="s">
        <v>96</v>
      </c>
      <c r="F169" t="s">
        <v>238</v>
      </c>
      <c r="G169">
        <v>33</v>
      </c>
      <c r="H169" t="s">
        <v>56</v>
      </c>
      <c r="I169" t="s">
        <v>49</v>
      </c>
      <c r="J169" t="s">
        <v>50</v>
      </c>
      <c r="K169">
        <v>0</v>
      </c>
      <c r="L169">
        <v>0</v>
      </c>
      <c r="M169">
        <v>1</v>
      </c>
      <c r="O169">
        <v>0</v>
      </c>
      <c r="P169">
        <v>0</v>
      </c>
      <c r="Q169">
        <v>0</v>
      </c>
      <c r="R169" t="s">
        <v>51</v>
      </c>
      <c r="S169">
        <v>0</v>
      </c>
      <c r="T169">
        <v>0</v>
      </c>
      <c r="U169">
        <v>1</v>
      </c>
      <c r="V169" t="s">
        <v>53</v>
      </c>
      <c r="W169">
        <v>0</v>
      </c>
      <c r="X169">
        <v>1</v>
      </c>
      <c r="Y169" t="s">
        <v>53</v>
      </c>
      <c r="Z169">
        <v>0</v>
      </c>
      <c r="AA169">
        <v>1</v>
      </c>
      <c r="AB169" t="s">
        <v>54</v>
      </c>
      <c r="AC169" t="s">
        <v>98</v>
      </c>
      <c r="AD169" t="s">
        <v>98</v>
      </c>
      <c r="AE169">
        <v>1</v>
      </c>
      <c r="AF169">
        <v>1</v>
      </c>
    </row>
    <row r="170" spans="1:32" x14ac:dyDescent="0.2">
      <c r="A170" t="s">
        <v>92</v>
      </c>
      <c r="B170" t="s">
        <v>167</v>
      </c>
      <c r="C170" t="s">
        <v>168</v>
      </c>
      <c r="D170" t="s">
        <v>95</v>
      </c>
      <c r="E170" t="s">
        <v>96</v>
      </c>
      <c r="F170" t="s">
        <v>239</v>
      </c>
      <c r="G170">
        <v>23</v>
      </c>
      <c r="H170" t="s">
        <v>48</v>
      </c>
      <c r="I170" t="s">
        <v>67</v>
      </c>
      <c r="J170" t="s">
        <v>50</v>
      </c>
      <c r="K170">
        <v>0</v>
      </c>
      <c r="L170">
        <v>0</v>
      </c>
      <c r="M170">
        <v>1</v>
      </c>
      <c r="O170">
        <v>0</v>
      </c>
      <c r="P170">
        <v>0</v>
      </c>
      <c r="Q170">
        <v>0</v>
      </c>
      <c r="R170" t="s">
        <v>51</v>
      </c>
      <c r="S170">
        <v>0</v>
      </c>
      <c r="T170">
        <v>0</v>
      </c>
      <c r="U170">
        <v>1</v>
      </c>
      <c r="V170" t="s">
        <v>52</v>
      </c>
      <c r="W170">
        <v>1</v>
      </c>
      <c r="X170">
        <v>1</v>
      </c>
      <c r="Y170" t="s">
        <v>53</v>
      </c>
      <c r="Z170">
        <v>0</v>
      </c>
      <c r="AA170">
        <v>1</v>
      </c>
      <c r="AB170" t="s">
        <v>54</v>
      </c>
      <c r="AC170" t="s">
        <v>98</v>
      </c>
      <c r="AD170" t="s">
        <v>98</v>
      </c>
      <c r="AE170">
        <v>1</v>
      </c>
      <c r="AF170">
        <v>1</v>
      </c>
    </row>
    <row r="171" spans="1:32" x14ac:dyDescent="0.2">
      <c r="A171" t="s">
        <v>92</v>
      </c>
      <c r="B171" t="s">
        <v>167</v>
      </c>
      <c r="C171" t="s">
        <v>168</v>
      </c>
      <c r="D171" t="s">
        <v>112</v>
      </c>
      <c r="E171" t="s">
        <v>113</v>
      </c>
      <c r="F171" t="s">
        <v>240</v>
      </c>
      <c r="G171">
        <v>35</v>
      </c>
      <c r="H171" t="s">
        <v>48</v>
      </c>
      <c r="I171" t="s">
        <v>49</v>
      </c>
      <c r="J171" t="s">
        <v>50</v>
      </c>
      <c r="K171">
        <v>0</v>
      </c>
      <c r="L171">
        <v>0</v>
      </c>
      <c r="M171">
        <v>1</v>
      </c>
      <c r="O171">
        <v>0</v>
      </c>
      <c r="P171">
        <v>0</v>
      </c>
      <c r="Q171">
        <v>0</v>
      </c>
      <c r="R171" t="s">
        <v>62</v>
      </c>
      <c r="S171">
        <v>1</v>
      </c>
      <c r="T171">
        <v>0</v>
      </c>
      <c r="U171">
        <v>1</v>
      </c>
      <c r="V171" t="s">
        <v>53</v>
      </c>
      <c r="W171">
        <v>0</v>
      </c>
      <c r="X171">
        <v>1</v>
      </c>
      <c r="Y171" t="s">
        <v>52</v>
      </c>
      <c r="Z171">
        <v>1</v>
      </c>
      <c r="AA171">
        <v>1</v>
      </c>
      <c r="AB171" t="s">
        <v>54</v>
      </c>
      <c r="AC171" t="s">
        <v>98</v>
      </c>
      <c r="AD171" t="s">
        <v>98</v>
      </c>
      <c r="AE171">
        <v>1</v>
      </c>
      <c r="AF171">
        <v>1</v>
      </c>
    </row>
    <row r="172" spans="1:32" x14ac:dyDescent="0.2">
      <c r="A172" t="s">
        <v>92</v>
      </c>
      <c r="B172" t="s">
        <v>167</v>
      </c>
      <c r="C172" t="s">
        <v>168</v>
      </c>
      <c r="D172" t="s">
        <v>95</v>
      </c>
      <c r="E172" t="s">
        <v>96</v>
      </c>
      <c r="F172" t="s">
        <v>241</v>
      </c>
      <c r="G172">
        <v>39</v>
      </c>
      <c r="H172" t="s">
        <v>48</v>
      </c>
      <c r="I172" t="s">
        <v>64</v>
      </c>
      <c r="J172" t="s">
        <v>50</v>
      </c>
      <c r="K172">
        <v>0</v>
      </c>
      <c r="L172">
        <v>0</v>
      </c>
      <c r="M172">
        <v>1</v>
      </c>
      <c r="N172" t="s">
        <v>65</v>
      </c>
      <c r="O172">
        <v>0</v>
      </c>
      <c r="P172">
        <v>1</v>
      </c>
      <c r="Q172">
        <v>1</v>
      </c>
      <c r="R172" t="s">
        <v>62</v>
      </c>
      <c r="S172">
        <v>1</v>
      </c>
      <c r="T172">
        <v>0</v>
      </c>
      <c r="U172">
        <v>1</v>
      </c>
      <c r="V172" t="s">
        <v>53</v>
      </c>
      <c r="W172">
        <v>0</v>
      </c>
      <c r="X172">
        <v>1</v>
      </c>
      <c r="Y172" t="s">
        <v>53</v>
      </c>
      <c r="Z172">
        <v>0</v>
      </c>
      <c r="AA172">
        <v>1</v>
      </c>
      <c r="AB172" t="s">
        <v>54</v>
      </c>
      <c r="AC172" t="s">
        <v>98</v>
      </c>
      <c r="AD172" t="s">
        <v>98</v>
      </c>
      <c r="AE172">
        <v>1</v>
      </c>
      <c r="AF172">
        <v>1</v>
      </c>
    </row>
    <row r="173" spans="1:32" x14ac:dyDescent="0.2">
      <c r="A173" t="s">
        <v>92</v>
      </c>
      <c r="B173" t="s">
        <v>167</v>
      </c>
      <c r="C173" t="s">
        <v>168</v>
      </c>
      <c r="D173" t="s">
        <v>95</v>
      </c>
      <c r="E173" t="s">
        <v>96</v>
      </c>
      <c r="F173" t="s">
        <v>242</v>
      </c>
      <c r="G173">
        <v>32</v>
      </c>
      <c r="H173" t="s">
        <v>48</v>
      </c>
      <c r="I173" t="s">
        <v>49</v>
      </c>
      <c r="J173" t="s">
        <v>144</v>
      </c>
      <c r="K173">
        <v>0</v>
      </c>
      <c r="L173">
        <v>1</v>
      </c>
      <c r="M173">
        <v>1</v>
      </c>
      <c r="N173" t="s">
        <v>65</v>
      </c>
      <c r="O173">
        <v>0</v>
      </c>
      <c r="P173">
        <v>1</v>
      </c>
      <c r="Q173">
        <v>1</v>
      </c>
      <c r="R173" t="s">
        <v>60</v>
      </c>
      <c r="S173">
        <v>0</v>
      </c>
      <c r="T173">
        <v>1</v>
      </c>
      <c r="U173">
        <v>1</v>
      </c>
      <c r="V173" t="s">
        <v>53</v>
      </c>
      <c r="W173">
        <v>0</v>
      </c>
      <c r="X173">
        <v>1</v>
      </c>
      <c r="Y173" t="s">
        <v>53</v>
      </c>
      <c r="Z173">
        <v>0</v>
      </c>
      <c r="AA173">
        <v>1</v>
      </c>
      <c r="AB173" t="s">
        <v>54</v>
      </c>
      <c r="AC173" t="s">
        <v>98</v>
      </c>
      <c r="AD173" t="s">
        <v>98</v>
      </c>
      <c r="AE173">
        <v>1</v>
      </c>
      <c r="AF173">
        <v>1</v>
      </c>
    </row>
    <row r="174" spans="1:32" x14ac:dyDescent="0.2">
      <c r="A174" t="s">
        <v>92</v>
      </c>
      <c r="B174" t="s">
        <v>167</v>
      </c>
      <c r="C174" t="s">
        <v>168</v>
      </c>
      <c r="D174" t="s">
        <v>95</v>
      </c>
      <c r="E174" t="s">
        <v>96</v>
      </c>
      <c r="F174" t="s">
        <v>243</v>
      </c>
      <c r="G174">
        <v>42</v>
      </c>
      <c r="H174" t="s">
        <v>56</v>
      </c>
      <c r="I174" t="s">
        <v>64</v>
      </c>
      <c r="J174" t="s">
        <v>59</v>
      </c>
      <c r="K174">
        <v>1</v>
      </c>
      <c r="L174">
        <v>0</v>
      </c>
      <c r="M174">
        <v>1</v>
      </c>
      <c r="N174" t="s">
        <v>65</v>
      </c>
      <c r="O174">
        <v>0</v>
      </c>
      <c r="P174">
        <v>1</v>
      </c>
      <c r="Q174">
        <v>1</v>
      </c>
      <c r="R174" t="s">
        <v>62</v>
      </c>
      <c r="S174">
        <v>1</v>
      </c>
      <c r="T174">
        <v>0</v>
      </c>
      <c r="U174">
        <v>1</v>
      </c>
      <c r="V174" t="s">
        <v>52</v>
      </c>
      <c r="W174">
        <v>1</v>
      </c>
      <c r="X174">
        <v>1</v>
      </c>
      <c r="Y174" t="s">
        <v>52</v>
      </c>
      <c r="Z174">
        <v>1</v>
      </c>
      <c r="AA174">
        <v>1</v>
      </c>
      <c r="AB174" t="s">
        <v>54</v>
      </c>
      <c r="AC174" t="s">
        <v>98</v>
      </c>
      <c r="AD174" t="s">
        <v>98</v>
      </c>
      <c r="AE174">
        <v>1</v>
      </c>
      <c r="AF174">
        <v>1</v>
      </c>
    </row>
    <row r="175" spans="1:32" x14ac:dyDescent="0.2">
      <c r="A175" t="s">
        <v>92</v>
      </c>
      <c r="B175" t="s">
        <v>167</v>
      </c>
      <c r="C175" t="s">
        <v>168</v>
      </c>
      <c r="D175" t="s">
        <v>95</v>
      </c>
      <c r="E175" t="s">
        <v>96</v>
      </c>
      <c r="F175" t="s">
        <v>244</v>
      </c>
      <c r="G175">
        <v>31</v>
      </c>
      <c r="H175" t="s">
        <v>56</v>
      </c>
      <c r="I175" t="s">
        <v>49</v>
      </c>
      <c r="J175" t="s">
        <v>50</v>
      </c>
      <c r="K175">
        <v>0</v>
      </c>
      <c r="L175">
        <v>0</v>
      </c>
      <c r="M175">
        <v>1</v>
      </c>
      <c r="O175">
        <v>0</v>
      </c>
      <c r="P175">
        <v>0</v>
      </c>
      <c r="Q175">
        <v>0</v>
      </c>
      <c r="R175" t="s">
        <v>62</v>
      </c>
      <c r="S175">
        <v>1</v>
      </c>
      <c r="T175">
        <v>0</v>
      </c>
      <c r="U175">
        <v>1</v>
      </c>
      <c r="V175" t="s">
        <v>53</v>
      </c>
      <c r="W175">
        <v>0</v>
      </c>
      <c r="X175">
        <v>1</v>
      </c>
      <c r="Y175" t="s">
        <v>53</v>
      </c>
      <c r="Z175">
        <v>0</v>
      </c>
      <c r="AA175">
        <v>1</v>
      </c>
      <c r="AB175" t="s">
        <v>54</v>
      </c>
      <c r="AC175" t="s">
        <v>98</v>
      </c>
      <c r="AD175" t="s">
        <v>98</v>
      </c>
      <c r="AE175">
        <v>1</v>
      </c>
      <c r="AF175">
        <v>1</v>
      </c>
    </row>
    <row r="176" spans="1:32" x14ac:dyDescent="0.2">
      <c r="A176" t="s">
        <v>92</v>
      </c>
      <c r="B176" t="s">
        <v>167</v>
      </c>
      <c r="C176" t="s">
        <v>168</v>
      </c>
      <c r="D176" t="s">
        <v>95</v>
      </c>
      <c r="E176" t="s">
        <v>96</v>
      </c>
      <c r="F176" t="s">
        <v>245</v>
      </c>
      <c r="G176">
        <v>46</v>
      </c>
      <c r="H176" t="s">
        <v>48</v>
      </c>
      <c r="I176" t="s">
        <v>70</v>
      </c>
      <c r="J176" t="s">
        <v>144</v>
      </c>
      <c r="K176">
        <v>0</v>
      </c>
      <c r="L176">
        <v>1</v>
      </c>
      <c r="M176">
        <v>1</v>
      </c>
      <c r="N176" t="s">
        <v>73</v>
      </c>
      <c r="O176">
        <v>1</v>
      </c>
      <c r="P176">
        <v>0</v>
      </c>
      <c r="Q176">
        <v>1</v>
      </c>
      <c r="R176" t="s">
        <v>60</v>
      </c>
      <c r="S176">
        <v>0</v>
      </c>
      <c r="T176">
        <v>1</v>
      </c>
      <c r="U176">
        <v>1</v>
      </c>
      <c r="V176" t="s">
        <v>53</v>
      </c>
      <c r="W176">
        <v>0</v>
      </c>
      <c r="X176">
        <v>1</v>
      </c>
      <c r="Y176" t="s">
        <v>52</v>
      </c>
      <c r="Z176">
        <v>1</v>
      </c>
      <c r="AA176">
        <v>1</v>
      </c>
      <c r="AB176" t="s">
        <v>54</v>
      </c>
      <c r="AC176" t="s">
        <v>98</v>
      </c>
      <c r="AD176" t="s">
        <v>98</v>
      </c>
      <c r="AE176">
        <v>1</v>
      </c>
      <c r="AF176">
        <v>1</v>
      </c>
    </row>
    <row r="177" spans="1:32" x14ac:dyDescent="0.2">
      <c r="A177" t="s">
        <v>92</v>
      </c>
      <c r="B177" t="s">
        <v>167</v>
      </c>
      <c r="C177" t="s">
        <v>168</v>
      </c>
      <c r="D177" t="s">
        <v>95</v>
      </c>
      <c r="E177" t="s">
        <v>96</v>
      </c>
      <c r="F177" t="s">
        <v>246</v>
      </c>
      <c r="G177">
        <v>51</v>
      </c>
      <c r="H177" t="s">
        <v>48</v>
      </c>
      <c r="I177" t="s">
        <v>70</v>
      </c>
      <c r="J177" t="s">
        <v>144</v>
      </c>
      <c r="K177">
        <v>0</v>
      </c>
      <c r="L177">
        <v>1</v>
      </c>
      <c r="M177">
        <v>1</v>
      </c>
      <c r="N177" t="s">
        <v>73</v>
      </c>
      <c r="O177">
        <v>1</v>
      </c>
      <c r="P177">
        <v>0</v>
      </c>
      <c r="Q177">
        <v>1</v>
      </c>
      <c r="R177" t="s">
        <v>60</v>
      </c>
      <c r="S177">
        <v>0</v>
      </c>
      <c r="T177">
        <v>1</v>
      </c>
      <c r="U177">
        <v>1</v>
      </c>
      <c r="V177" t="s">
        <v>53</v>
      </c>
      <c r="W177">
        <v>0</v>
      </c>
      <c r="X177">
        <v>1</v>
      </c>
      <c r="Y177" t="s">
        <v>52</v>
      </c>
      <c r="Z177">
        <v>1</v>
      </c>
      <c r="AA177">
        <v>1</v>
      </c>
      <c r="AB177" t="s">
        <v>54</v>
      </c>
      <c r="AC177" t="s">
        <v>98</v>
      </c>
      <c r="AD177" t="s">
        <v>98</v>
      </c>
      <c r="AE177">
        <v>1</v>
      </c>
      <c r="AF177">
        <v>1</v>
      </c>
    </row>
    <row r="178" spans="1:32" x14ac:dyDescent="0.2">
      <c r="A178" t="s">
        <v>92</v>
      </c>
      <c r="B178" t="s">
        <v>167</v>
      </c>
      <c r="C178" t="s">
        <v>168</v>
      </c>
      <c r="D178" t="s">
        <v>95</v>
      </c>
      <c r="E178" t="s">
        <v>96</v>
      </c>
      <c r="F178" t="s">
        <v>247</v>
      </c>
      <c r="G178">
        <v>47</v>
      </c>
      <c r="H178" t="s">
        <v>56</v>
      </c>
      <c r="I178" t="s">
        <v>70</v>
      </c>
      <c r="J178" t="s">
        <v>59</v>
      </c>
      <c r="K178">
        <v>1</v>
      </c>
      <c r="L178">
        <v>0</v>
      </c>
      <c r="M178">
        <v>1</v>
      </c>
      <c r="N178" t="s">
        <v>65</v>
      </c>
      <c r="O178">
        <v>0</v>
      </c>
      <c r="P178">
        <v>1</v>
      </c>
      <c r="Q178">
        <v>1</v>
      </c>
      <c r="R178" t="s">
        <v>62</v>
      </c>
      <c r="S178">
        <v>1</v>
      </c>
      <c r="T178">
        <v>0</v>
      </c>
      <c r="U178">
        <v>1</v>
      </c>
      <c r="V178" t="s">
        <v>52</v>
      </c>
      <c r="W178">
        <v>1</v>
      </c>
      <c r="X178">
        <v>1</v>
      </c>
      <c r="Y178" t="s">
        <v>52</v>
      </c>
      <c r="Z178">
        <v>1</v>
      </c>
      <c r="AA178">
        <v>1</v>
      </c>
      <c r="AB178" t="s">
        <v>54</v>
      </c>
      <c r="AC178" t="s">
        <v>98</v>
      </c>
      <c r="AD178" t="s">
        <v>98</v>
      </c>
      <c r="AE178">
        <v>1</v>
      </c>
      <c r="AF178">
        <v>1</v>
      </c>
    </row>
    <row r="179" spans="1:32" x14ac:dyDescent="0.2">
      <c r="A179" t="s">
        <v>92</v>
      </c>
      <c r="B179" t="s">
        <v>167</v>
      </c>
      <c r="C179" t="s">
        <v>168</v>
      </c>
      <c r="D179" t="s">
        <v>112</v>
      </c>
      <c r="E179" t="s">
        <v>113</v>
      </c>
      <c r="F179" t="s">
        <v>248</v>
      </c>
      <c r="G179">
        <v>41</v>
      </c>
      <c r="H179" t="s">
        <v>48</v>
      </c>
      <c r="I179" t="s">
        <v>64</v>
      </c>
      <c r="J179" t="s">
        <v>59</v>
      </c>
      <c r="K179">
        <v>1</v>
      </c>
      <c r="L179">
        <v>0</v>
      </c>
      <c r="M179">
        <v>1</v>
      </c>
      <c r="O179">
        <v>0</v>
      </c>
      <c r="P179">
        <v>0</v>
      </c>
      <c r="Q179">
        <v>0</v>
      </c>
      <c r="R179" t="s">
        <v>60</v>
      </c>
      <c r="S179">
        <v>0</v>
      </c>
      <c r="T179">
        <v>1</v>
      </c>
      <c r="U179">
        <v>1</v>
      </c>
      <c r="V179" t="s">
        <v>52</v>
      </c>
      <c r="W179">
        <v>1</v>
      </c>
      <c r="X179">
        <v>1</v>
      </c>
      <c r="Y179" t="s">
        <v>52</v>
      </c>
      <c r="Z179">
        <v>1</v>
      </c>
      <c r="AA179">
        <v>1</v>
      </c>
      <c r="AB179" t="s">
        <v>54</v>
      </c>
      <c r="AC179" t="s">
        <v>98</v>
      </c>
      <c r="AD179" t="s">
        <v>98</v>
      </c>
      <c r="AE179">
        <v>1</v>
      </c>
      <c r="AF179">
        <v>1</v>
      </c>
    </row>
    <row r="180" spans="1:32" x14ac:dyDescent="0.2">
      <c r="A180" t="s">
        <v>92</v>
      </c>
      <c r="B180" t="s">
        <v>167</v>
      </c>
      <c r="C180" t="s">
        <v>168</v>
      </c>
      <c r="D180" t="s">
        <v>95</v>
      </c>
      <c r="E180" t="s">
        <v>96</v>
      </c>
      <c r="F180" t="s">
        <v>249</v>
      </c>
      <c r="G180">
        <v>36</v>
      </c>
      <c r="H180" t="s">
        <v>48</v>
      </c>
      <c r="I180" t="s">
        <v>64</v>
      </c>
      <c r="J180" t="s">
        <v>50</v>
      </c>
      <c r="K180">
        <v>0</v>
      </c>
      <c r="L180">
        <v>0</v>
      </c>
      <c r="M180">
        <v>1</v>
      </c>
      <c r="N180" t="s">
        <v>65</v>
      </c>
      <c r="O180">
        <v>0</v>
      </c>
      <c r="P180">
        <v>1</v>
      </c>
      <c r="Q180">
        <v>1</v>
      </c>
      <c r="R180" t="s">
        <v>60</v>
      </c>
      <c r="S180">
        <v>0</v>
      </c>
      <c r="T180">
        <v>1</v>
      </c>
      <c r="U180">
        <v>1</v>
      </c>
      <c r="V180" t="s">
        <v>53</v>
      </c>
      <c r="W180">
        <v>0</v>
      </c>
      <c r="X180">
        <v>1</v>
      </c>
      <c r="Y180" t="s">
        <v>53</v>
      </c>
      <c r="Z180">
        <v>0</v>
      </c>
      <c r="AA180">
        <v>1</v>
      </c>
      <c r="AB180" t="s">
        <v>54</v>
      </c>
      <c r="AC180" t="s">
        <v>98</v>
      </c>
      <c r="AD180" t="s">
        <v>98</v>
      </c>
      <c r="AE180">
        <v>1</v>
      </c>
      <c r="AF180">
        <v>1</v>
      </c>
    </row>
    <row r="181" spans="1:32" x14ac:dyDescent="0.2">
      <c r="A181" t="s">
        <v>92</v>
      </c>
      <c r="B181" t="s">
        <v>167</v>
      </c>
      <c r="C181" t="s">
        <v>168</v>
      </c>
      <c r="D181" t="s">
        <v>95</v>
      </c>
      <c r="E181" t="s">
        <v>96</v>
      </c>
      <c r="F181" t="s">
        <v>250</v>
      </c>
      <c r="G181">
        <v>44</v>
      </c>
      <c r="H181" t="s">
        <v>48</v>
      </c>
      <c r="I181" t="s">
        <v>64</v>
      </c>
      <c r="J181" t="s">
        <v>144</v>
      </c>
      <c r="K181">
        <v>0</v>
      </c>
      <c r="L181">
        <v>1</v>
      </c>
      <c r="M181">
        <v>1</v>
      </c>
      <c r="N181" t="s">
        <v>65</v>
      </c>
      <c r="O181">
        <v>0</v>
      </c>
      <c r="P181">
        <v>1</v>
      </c>
      <c r="Q181">
        <v>1</v>
      </c>
      <c r="R181" t="s">
        <v>51</v>
      </c>
      <c r="S181">
        <v>0</v>
      </c>
      <c r="T181">
        <v>0</v>
      </c>
      <c r="U181">
        <v>1</v>
      </c>
      <c r="V181" t="s">
        <v>53</v>
      </c>
      <c r="W181">
        <v>0</v>
      </c>
      <c r="X181">
        <v>1</v>
      </c>
      <c r="Y181" t="s">
        <v>52</v>
      </c>
      <c r="Z181">
        <v>1</v>
      </c>
      <c r="AA181">
        <v>1</v>
      </c>
      <c r="AB181" t="s">
        <v>54</v>
      </c>
      <c r="AC181" t="s">
        <v>98</v>
      </c>
      <c r="AD181" t="s">
        <v>98</v>
      </c>
      <c r="AE181">
        <v>1</v>
      </c>
      <c r="AF181">
        <v>1</v>
      </c>
    </row>
    <row r="182" spans="1:32" x14ac:dyDescent="0.2">
      <c r="A182" t="s">
        <v>92</v>
      </c>
      <c r="B182" t="s">
        <v>167</v>
      </c>
      <c r="C182" t="s">
        <v>168</v>
      </c>
      <c r="D182" t="s">
        <v>95</v>
      </c>
      <c r="E182" t="s">
        <v>96</v>
      </c>
      <c r="F182" t="s">
        <v>251</v>
      </c>
      <c r="G182">
        <v>55</v>
      </c>
      <c r="H182" t="s">
        <v>56</v>
      </c>
      <c r="I182" t="s">
        <v>70</v>
      </c>
      <c r="J182" t="s">
        <v>50</v>
      </c>
      <c r="K182">
        <v>0</v>
      </c>
      <c r="L182">
        <v>0</v>
      </c>
      <c r="M182">
        <v>1</v>
      </c>
      <c r="O182">
        <v>0</v>
      </c>
      <c r="P182">
        <v>0</v>
      </c>
      <c r="Q182">
        <v>0</v>
      </c>
      <c r="R182" t="s">
        <v>51</v>
      </c>
      <c r="S182">
        <v>0</v>
      </c>
      <c r="T182">
        <v>0</v>
      </c>
      <c r="U182">
        <v>1</v>
      </c>
      <c r="V182" t="s">
        <v>53</v>
      </c>
      <c r="W182">
        <v>0</v>
      </c>
      <c r="X182">
        <v>1</v>
      </c>
      <c r="Y182" t="s">
        <v>53</v>
      </c>
      <c r="Z182">
        <v>0</v>
      </c>
      <c r="AA182">
        <v>1</v>
      </c>
      <c r="AB182" t="s">
        <v>54</v>
      </c>
      <c r="AC182" t="s">
        <v>98</v>
      </c>
      <c r="AD182" t="s">
        <v>98</v>
      </c>
      <c r="AE182">
        <v>1</v>
      </c>
      <c r="AF182">
        <v>1</v>
      </c>
    </row>
    <row r="183" spans="1:32" x14ac:dyDescent="0.2">
      <c r="A183" t="s">
        <v>92</v>
      </c>
      <c r="B183" t="s">
        <v>167</v>
      </c>
      <c r="C183" t="s">
        <v>168</v>
      </c>
      <c r="D183" t="s">
        <v>95</v>
      </c>
      <c r="E183" t="s">
        <v>96</v>
      </c>
      <c r="F183" t="s">
        <v>252</v>
      </c>
      <c r="G183">
        <v>35</v>
      </c>
      <c r="H183" t="s">
        <v>48</v>
      </c>
      <c r="I183" t="s">
        <v>49</v>
      </c>
      <c r="J183" t="s">
        <v>50</v>
      </c>
      <c r="K183">
        <v>0</v>
      </c>
      <c r="L183">
        <v>0</v>
      </c>
      <c r="M183">
        <v>1</v>
      </c>
      <c r="N183" t="s">
        <v>65</v>
      </c>
      <c r="O183">
        <v>0</v>
      </c>
      <c r="P183">
        <v>1</v>
      </c>
      <c r="Q183">
        <v>1</v>
      </c>
      <c r="R183" t="s">
        <v>60</v>
      </c>
      <c r="S183">
        <v>0</v>
      </c>
      <c r="T183">
        <v>1</v>
      </c>
      <c r="U183">
        <v>1</v>
      </c>
      <c r="V183" t="s">
        <v>53</v>
      </c>
      <c r="W183">
        <v>0</v>
      </c>
      <c r="X183">
        <v>1</v>
      </c>
      <c r="Y183" t="s">
        <v>52</v>
      </c>
      <c r="Z183">
        <v>1</v>
      </c>
      <c r="AA183">
        <v>1</v>
      </c>
      <c r="AB183" t="s">
        <v>54</v>
      </c>
      <c r="AC183" t="s">
        <v>98</v>
      </c>
      <c r="AD183" t="s">
        <v>98</v>
      </c>
      <c r="AE183">
        <v>1</v>
      </c>
      <c r="AF183">
        <v>1</v>
      </c>
    </row>
    <row r="184" spans="1:32" x14ac:dyDescent="0.2">
      <c r="A184" t="s">
        <v>92</v>
      </c>
      <c r="B184" t="s">
        <v>167</v>
      </c>
      <c r="C184" t="s">
        <v>168</v>
      </c>
      <c r="D184" t="s">
        <v>95</v>
      </c>
      <c r="E184" t="s">
        <v>96</v>
      </c>
      <c r="F184" t="s">
        <v>253</v>
      </c>
      <c r="G184">
        <v>43</v>
      </c>
      <c r="H184" t="s">
        <v>48</v>
      </c>
      <c r="I184" t="s">
        <v>64</v>
      </c>
      <c r="J184" t="s">
        <v>50</v>
      </c>
      <c r="K184">
        <v>0</v>
      </c>
      <c r="L184">
        <v>0</v>
      </c>
      <c r="M184">
        <v>1</v>
      </c>
      <c r="O184">
        <v>0</v>
      </c>
      <c r="P184">
        <v>0</v>
      </c>
      <c r="Q184">
        <v>0</v>
      </c>
      <c r="R184" t="s">
        <v>62</v>
      </c>
      <c r="S184">
        <v>1</v>
      </c>
      <c r="T184">
        <v>0</v>
      </c>
      <c r="U184">
        <v>1</v>
      </c>
      <c r="V184" t="s">
        <v>53</v>
      </c>
      <c r="W184">
        <v>0</v>
      </c>
      <c r="X184">
        <v>1</v>
      </c>
      <c r="Y184" t="s">
        <v>52</v>
      </c>
      <c r="Z184">
        <v>1</v>
      </c>
      <c r="AA184">
        <v>1</v>
      </c>
      <c r="AB184" t="s">
        <v>54</v>
      </c>
      <c r="AC184" t="s">
        <v>98</v>
      </c>
      <c r="AD184" t="s">
        <v>98</v>
      </c>
      <c r="AE184">
        <v>1</v>
      </c>
      <c r="AF184">
        <v>1</v>
      </c>
    </row>
    <row r="185" spans="1:32" x14ac:dyDescent="0.2">
      <c r="A185" t="s">
        <v>92</v>
      </c>
      <c r="B185" t="s">
        <v>167</v>
      </c>
      <c r="C185" t="s">
        <v>168</v>
      </c>
      <c r="D185" t="s">
        <v>95</v>
      </c>
      <c r="E185" t="s">
        <v>96</v>
      </c>
      <c r="F185" t="s">
        <v>254</v>
      </c>
      <c r="G185">
        <v>54</v>
      </c>
      <c r="H185" t="s">
        <v>48</v>
      </c>
      <c r="I185" t="s">
        <v>70</v>
      </c>
      <c r="J185" t="s">
        <v>50</v>
      </c>
      <c r="K185">
        <v>0</v>
      </c>
      <c r="L185">
        <v>0</v>
      </c>
      <c r="M185">
        <v>1</v>
      </c>
      <c r="N185" t="s">
        <v>65</v>
      </c>
      <c r="O185">
        <v>0</v>
      </c>
      <c r="P185">
        <v>1</v>
      </c>
      <c r="Q185">
        <v>1</v>
      </c>
      <c r="R185" t="s">
        <v>60</v>
      </c>
      <c r="S185">
        <v>0</v>
      </c>
      <c r="T185">
        <v>1</v>
      </c>
      <c r="U185">
        <v>1</v>
      </c>
      <c r="V185" t="s">
        <v>53</v>
      </c>
      <c r="W185">
        <v>0</v>
      </c>
      <c r="X185">
        <v>1</v>
      </c>
      <c r="Y185" t="s">
        <v>52</v>
      </c>
      <c r="Z185">
        <v>1</v>
      </c>
      <c r="AA185">
        <v>1</v>
      </c>
      <c r="AB185" t="s">
        <v>54</v>
      </c>
      <c r="AC185" t="s">
        <v>98</v>
      </c>
      <c r="AD185" t="s">
        <v>98</v>
      </c>
      <c r="AE185">
        <v>1</v>
      </c>
      <c r="AF185">
        <v>1</v>
      </c>
    </row>
    <row r="186" spans="1:32" x14ac:dyDescent="0.2">
      <c r="A186" t="s">
        <v>92</v>
      </c>
      <c r="B186" t="s">
        <v>167</v>
      </c>
      <c r="C186" t="s">
        <v>168</v>
      </c>
      <c r="D186" t="s">
        <v>95</v>
      </c>
      <c r="E186" t="s">
        <v>96</v>
      </c>
      <c r="F186" t="s">
        <v>255</v>
      </c>
      <c r="G186">
        <v>32</v>
      </c>
      <c r="H186" t="s">
        <v>56</v>
      </c>
      <c r="I186" t="s">
        <v>49</v>
      </c>
      <c r="J186" t="s">
        <v>50</v>
      </c>
      <c r="K186">
        <v>0</v>
      </c>
      <c r="L186">
        <v>0</v>
      </c>
      <c r="M186">
        <v>1</v>
      </c>
      <c r="O186">
        <v>0</v>
      </c>
      <c r="P186">
        <v>0</v>
      </c>
      <c r="Q186">
        <v>0</v>
      </c>
      <c r="R186" t="s">
        <v>60</v>
      </c>
      <c r="S186">
        <v>0</v>
      </c>
      <c r="T186">
        <v>1</v>
      </c>
      <c r="U186">
        <v>1</v>
      </c>
      <c r="V186" t="s">
        <v>53</v>
      </c>
      <c r="W186">
        <v>0</v>
      </c>
      <c r="X186">
        <v>1</v>
      </c>
      <c r="Y186" t="s">
        <v>53</v>
      </c>
      <c r="Z186">
        <v>0</v>
      </c>
      <c r="AA186">
        <v>1</v>
      </c>
      <c r="AB186" t="s">
        <v>54</v>
      </c>
      <c r="AC186" t="s">
        <v>98</v>
      </c>
      <c r="AD186" t="s">
        <v>98</v>
      </c>
      <c r="AE186">
        <v>1</v>
      </c>
      <c r="AF186">
        <v>1</v>
      </c>
    </row>
    <row r="187" spans="1:32" x14ac:dyDescent="0.2">
      <c r="A187" t="s">
        <v>92</v>
      </c>
      <c r="B187" t="s">
        <v>167</v>
      </c>
      <c r="C187" t="s">
        <v>168</v>
      </c>
      <c r="D187" t="s">
        <v>95</v>
      </c>
      <c r="E187" t="s">
        <v>96</v>
      </c>
      <c r="F187" t="s">
        <v>256</v>
      </c>
      <c r="G187">
        <v>40</v>
      </c>
      <c r="H187" t="s">
        <v>56</v>
      </c>
      <c r="I187" t="s">
        <v>64</v>
      </c>
      <c r="J187" t="s">
        <v>50</v>
      </c>
      <c r="K187">
        <v>0</v>
      </c>
      <c r="L187">
        <v>0</v>
      </c>
      <c r="M187">
        <v>1</v>
      </c>
      <c r="N187" t="s">
        <v>73</v>
      </c>
      <c r="O187">
        <v>1</v>
      </c>
      <c r="P187">
        <v>0</v>
      </c>
      <c r="Q187">
        <v>1</v>
      </c>
      <c r="R187" t="s">
        <v>62</v>
      </c>
      <c r="S187">
        <v>1</v>
      </c>
      <c r="T187">
        <v>0</v>
      </c>
      <c r="U187">
        <v>1</v>
      </c>
      <c r="V187" t="s">
        <v>53</v>
      </c>
      <c r="W187">
        <v>0</v>
      </c>
      <c r="X187">
        <v>1</v>
      </c>
      <c r="Y187" t="s">
        <v>53</v>
      </c>
      <c r="Z187">
        <v>0</v>
      </c>
      <c r="AA187">
        <v>1</v>
      </c>
      <c r="AB187" t="s">
        <v>54</v>
      </c>
      <c r="AC187" t="s">
        <v>98</v>
      </c>
      <c r="AD187" t="s">
        <v>98</v>
      </c>
      <c r="AE187">
        <v>1</v>
      </c>
      <c r="AF187">
        <v>1</v>
      </c>
    </row>
    <row r="188" spans="1:32" x14ac:dyDescent="0.2">
      <c r="A188" t="s">
        <v>92</v>
      </c>
      <c r="B188" t="s">
        <v>167</v>
      </c>
      <c r="C188" t="s">
        <v>168</v>
      </c>
      <c r="D188" t="s">
        <v>95</v>
      </c>
      <c r="E188" t="s">
        <v>96</v>
      </c>
      <c r="F188" t="s">
        <v>257</v>
      </c>
      <c r="G188">
        <v>28</v>
      </c>
      <c r="H188" t="s">
        <v>56</v>
      </c>
      <c r="I188" t="s">
        <v>49</v>
      </c>
      <c r="J188" t="s">
        <v>50</v>
      </c>
      <c r="K188">
        <v>0</v>
      </c>
      <c r="L188">
        <v>0</v>
      </c>
      <c r="M188">
        <v>1</v>
      </c>
      <c r="O188">
        <v>0</v>
      </c>
      <c r="P188">
        <v>0</v>
      </c>
      <c r="Q188">
        <v>0</v>
      </c>
      <c r="S188">
        <v>0</v>
      </c>
      <c r="T188">
        <v>0</v>
      </c>
      <c r="U188">
        <v>0</v>
      </c>
      <c r="V188" t="s">
        <v>52</v>
      </c>
      <c r="W188">
        <v>1</v>
      </c>
      <c r="X188">
        <v>1</v>
      </c>
      <c r="Y188" t="s">
        <v>53</v>
      </c>
      <c r="Z188">
        <v>0</v>
      </c>
      <c r="AA188">
        <v>1</v>
      </c>
      <c r="AB188" t="s">
        <v>54</v>
      </c>
      <c r="AC188" t="s">
        <v>98</v>
      </c>
      <c r="AD188" t="s">
        <v>131</v>
      </c>
      <c r="AE188">
        <v>1</v>
      </c>
      <c r="AF188">
        <v>1</v>
      </c>
    </row>
    <row r="189" spans="1:32" x14ac:dyDescent="0.2">
      <c r="A189" t="s">
        <v>92</v>
      </c>
      <c r="B189" t="s">
        <v>167</v>
      </c>
      <c r="C189" t="s">
        <v>168</v>
      </c>
      <c r="D189" t="s">
        <v>95</v>
      </c>
      <c r="E189" t="s">
        <v>96</v>
      </c>
      <c r="F189" t="s">
        <v>258</v>
      </c>
      <c r="G189">
        <v>51</v>
      </c>
      <c r="H189" t="s">
        <v>48</v>
      </c>
      <c r="I189" t="s">
        <v>70</v>
      </c>
      <c r="J189" t="s">
        <v>50</v>
      </c>
      <c r="K189">
        <v>0</v>
      </c>
      <c r="L189">
        <v>0</v>
      </c>
      <c r="M189">
        <v>1</v>
      </c>
      <c r="N189" t="s">
        <v>65</v>
      </c>
      <c r="O189">
        <v>0</v>
      </c>
      <c r="P189">
        <v>1</v>
      </c>
      <c r="Q189">
        <v>1</v>
      </c>
      <c r="R189" t="s">
        <v>60</v>
      </c>
      <c r="S189">
        <v>0</v>
      </c>
      <c r="T189">
        <v>1</v>
      </c>
      <c r="U189">
        <v>1</v>
      </c>
      <c r="V189" t="s">
        <v>53</v>
      </c>
      <c r="W189">
        <v>0</v>
      </c>
      <c r="X189">
        <v>1</v>
      </c>
      <c r="Y189" t="s">
        <v>52</v>
      </c>
      <c r="Z189">
        <v>1</v>
      </c>
      <c r="AA189">
        <v>1</v>
      </c>
      <c r="AB189" t="s">
        <v>54</v>
      </c>
      <c r="AC189" t="s">
        <v>98</v>
      </c>
      <c r="AD189" t="s">
        <v>98</v>
      </c>
      <c r="AE189">
        <v>1</v>
      </c>
      <c r="AF189">
        <v>1</v>
      </c>
    </row>
    <row r="190" spans="1:32" x14ac:dyDescent="0.2">
      <c r="A190" t="s">
        <v>92</v>
      </c>
      <c r="B190" t="s">
        <v>167</v>
      </c>
      <c r="C190" t="s">
        <v>168</v>
      </c>
      <c r="D190" t="s">
        <v>95</v>
      </c>
      <c r="E190" t="s">
        <v>96</v>
      </c>
      <c r="F190" t="s">
        <v>259</v>
      </c>
      <c r="G190">
        <v>41</v>
      </c>
      <c r="H190" t="s">
        <v>56</v>
      </c>
      <c r="I190" t="s">
        <v>64</v>
      </c>
      <c r="J190" t="s">
        <v>50</v>
      </c>
      <c r="K190">
        <v>0</v>
      </c>
      <c r="L190">
        <v>0</v>
      </c>
      <c r="M190">
        <v>1</v>
      </c>
      <c r="O190">
        <v>0</v>
      </c>
      <c r="P190">
        <v>0</v>
      </c>
      <c r="Q190">
        <v>0</v>
      </c>
      <c r="R190" t="s">
        <v>62</v>
      </c>
      <c r="S190">
        <v>1</v>
      </c>
      <c r="T190">
        <v>0</v>
      </c>
      <c r="U190">
        <v>1</v>
      </c>
      <c r="V190" t="s">
        <v>53</v>
      </c>
      <c r="W190">
        <v>0</v>
      </c>
      <c r="X190">
        <v>1</v>
      </c>
      <c r="Y190" t="s">
        <v>53</v>
      </c>
      <c r="Z190">
        <v>0</v>
      </c>
      <c r="AA190">
        <v>1</v>
      </c>
      <c r="AB190" t="s">
        <v>54</v>
      </c>
      <c r="AC190" t="s">
        <v>98</v>
      </c>
      <c r="AD190" t="s">
        <v>98</v>
      </c>
      <c r="AE190">
        <v>1</v>
      </c>
      <c r="AF190">
        <v>1</v>
      </c>
    </row>
    <row r="191" spans="1:32" x14ac:dyDescent="0.2">
      <c r="A191" t="s">
        <v>92</v>
      </c>
      <c r="B191" t="s">
        <v>167</v>
      </c>
      <c r="C191" t="s">
        <v>168</v>
      </c>
      <c r="D191" t="s">
        <v>95</v>
      </c>
      <c r="E191" t="s">
        <v>96</v>
      </c>
      <c r="F191" t="s">
        <v>260</v>
      </c>
      <c r="G191">
        <v>49</v>
      </c>
      <c r="H191" t="s">
        <v>56</v>
      </c>
      <c r="I191" t="s">
        <v>70</v>
      </c>
      <c r="J191" t="s">
        <v>50</v>
      </c>
      <c r="K191">
        <v>0</v>
      </c>
      <c r="L191">
        <v>0</v>
      </c>
      <c r="M191">
        <v>1</v>
      </c>
      <c r="O191">
        <v>0</v>
      </c>
      <c r="P191">
        <v>0</v>
      </c>
      <c r="Q191">
        <v>0</v>
      </c>
      <c r="R191" t="s">
        <v>62</v>
      </c>
      <c r="S191">
        <v>1</v>
      </c>
      <c r="T191">
        <v>0</v>
      </c>
      <c r="U191">
        <v>1</v>
      </c>
      <c r="V191" t="s">
        <v>53</v>
      </c>
      <c r="W191">
        <v>0</v>
      </c>
      <c r="X191">
        <v>1</v>
      </c>
      <c r="Y191" t="s">
        <v>52</v>
      </c>
      <c r="Z191">
        <v>1</v>
      </c>
      <c r="AA191">
        <v>1</v>
      </c>
      <c r="AB191" t="s">
        <v>54</v>
      </c>
      <c r="AC191" t="s">
        <v>98</v>
      </c>
      <c r="AD191" t="s">
        <v>98</v>
      </c>
      <c r="AE191">
        <v>1</v>
      </c>
      <c r="AF191">
        <v>1</v>
      </c>
    </row>
    <row r="192" spans="1:32" x14ac:dyDescent="0.2">
      <c r="A192" t="s">
        <v>92</v>
      </c>
      <c r="B192" t="s">
        <v>167</v>
      </c>
      <c r="C192" t="s">
        <v>168</v>
      </c>
      <c r="D192" t="s">
        <v>95</v>
      </c>
      <c r="E192" t="s">
        <v>96</v>
      </c>
      <c r="F192" t="s">
        <v>261</v>
      </c>
      <c r="G192">
        <v>43</v>
      </c>
      <c r="H192" t="s">
        <v>56</v>
      </c>
      <c r="I192" t="s">
        <v>64</v>
      </c>
      <c r="J192" t="s">
        <v>50</v>
      </c>
      <c r="K192">
        <v>0</v>
      </c>
      <c r="L192">
        <v>0</v>
      </c>
      <c r="M192">
        <v>1</v>
      </c>
      <c r="N192" t="s">
        <v>65</v>
      </c>
      <c r="O192">
        <v>0</v>
      </c>
      <c r="P192">
        <v>1</v>
      </c>
      <c r="Q192">
        <v>1</v>
      </c>
      <c r="R192" t="s">
        <v>60</v>
      </c>
      <c r="S192">
        <v>0</v>
      </c>
      <c r="T192">
        <v>1</v>
      </c>
      <c r="U192">
        <v>1</v>
      </c>
      <c r="V192" t="s">
        <v>53</v>
      </c>
      <c r="W192">
        <v>0</v>
      </c>
      <c r="X192">
        <v>1</v>
      </c>
      <c r="Y192" t="s">
        <v>52</v>
      </c>
      <c r="Z192">
        <v>1</v>
      </c>
      <c r="AA192">
        <v>1</v>
      </c>
      <c r="AB192" t="s">
        <v>54</v>
      </c>
      <c r="AC192" t="s">
        <v>98</v>
      </c>
      <c r="AD192" t="s">
        <v>98</v>
      </c>
      <c r="AE192">
        <v>1</v>
      </c>
      <c r="AF192">
        <v>1</v>
      </c>
    </row>
    <row r="193" spans="1:32" x14ac:dyDescent="0.2">
      <c r="A193" t="s">
        <v>92</v>
      </c>
      <c r="B193" t="s">
        <v>167</v>
      </c>
      <c r="C193" t="s">
        <v>168</v>
      </c>
      <c r="D193" t="s">
        <v>95</v>
      </c>
      <c r="E193" t="s">
        <v>96</v>
      </c>
      <c r="F193" t="s">
        <v>262</v>
      </c>
      <c r="G193">
        <v>38</v>
      </c>
      <c r="H193" t="s">
        <v>56</v>
      </c>
      <c r="I193" t="s">
        <v>64</v>
      </c>
      <c r="J193" t="s">
        <v>144</v>
      </c>
      <c r="K193">
        <v>0</v>
      </c>
      <c r="L193">
        <v>1</v>
      </c>
      <c r="M193">
        <v>1</v>
      </c>
      <c r="O193">
        <v>0</v>
      </c>
      <c r="P193">
        <v>0</v>
      </c>
      <c r="Q193">
        <v>0</v>
      </c>
      <c r="R193" t="s">
        <v>60</v>
      </c>
      <c r="S193">
        <v>0</v>
      </c>
      <c r="T193">
        <v>1</v>
      </c>
      <c r="U193">
        <v>1</v>
      </c>
      <c r="V193" t="s">
        <v>53</v>
      </c>
      <c r="W193">
        <v>0</v>
      </c>
      <c r="X193">
        <v>1</v>
      </c>
      <c r="Y193" t="s">
        <v>52</v>
      </c>
      <c r="Z193">
        <v>1</v>
      </c>
      <c r="AA193">
        <v>1</v>
      </c>
      <c r="AB193" t="s">
        <v>54</v>
      </c>
      <c r="AC193" t="s">
        <v>98</v>
      </c>
      <c r="AD193" t="s">
        <v>98</v>
      </c>
      <c r="AE193">
        <v>1</v>
      </c>
      <c r="AF193">
        <v>1</v>
      </c>
    </row>
    <row r="194" spans="1:32" x14ac:dyDescent="0.2">
      <c r="A194" t="s">
        <v>92</v>
      </c>
      <c r="B194" t="s">
        <v>167</v>
      </c>
      <c r="C194" t="s">
        <v>168</v>
      </c>
      <c r="D194" t="s">
        <v>95</v>
      </c>
      <c r="E194" t="s">
        <v>96</v>
      </c>
      <c r="F194" t="s">
        <v>263</v>
      </c>
      <c r="G194">
        <v>39</v>
      </c>
      <c r="H194" t="s">
        <v>56</v>
      </c>
      <c r="I194" t="s">
        <v>64</v>
      </c>
      <c r="J194" t="s">
        <v>50</v>
      </c>
      <c r="K194">
        <v>0</v>
      </c>
      <c r="L194">
        <v>0</v>
      </c>
      <c r="M194">
        <v>1</v>
      </c>
      <c r="O194">
        <v>0</v>
      </c>
      <c r="P194">
        <v>0</v>
      </c>
      <c r="Q194">
        <v>0</v>
      </c>
      <c r="R194" t="s">
        <v>51</v>
      </c>
      <c r="S194">
        <v>0</v>
      </c>
      <c r="T194">
        <v>0</v>
      </c>
      <c r="U194">
        <v>1</v>
      </c>
      <c r="V194" t="s">
        <v>53</v>
      </c>
      <c r="W194">
        <v>0</v>
      </c>
      <c r="X194">
        <v>1</v>
      </c>
      <c r="Y194" t="s">
        <v>53</v>
      </c>
      <c r="Z194">
        <v>0</v>
      </c>
      <c r="AA194">
        <v>1</v>
      </c>
      <c r="AB194" t="s">
        <v>54</v>
      </c>
      <c r="AC194" t="s">
        <v>98</v>
      </c>
      <c r="AD194" t="s">
        <v>98</v>
      </c>
      <c r="AE194">
        <v>1</v>
      </c>
      <c r="AF194">
        <v>1</v>
      </c>
    </row>
    <row r="195" spans="1:32" x14ac:dyDescent="0.2">
      <c r="A195" t="s">
        <v>92</v>
      </c>
      <c r="B195" t="s">
        <v>167</v>
      </c>
      <c r="C195" t="s">
        <v>168</v>
      </c>
      <c r="D195" t="s">
        <v>95</v>
      </c>
      <c r="E195" t="s">
        <v>96</v>
      </c>
      <c r="F195" t="s">
        <v>264</v>
      </c>
      <c r="G195">
        <v>34</v>
      </c>
      <c r="H195" t="s">
        <v>56</v>
      </c>
      <c r="I195" t="s">
        <v>49</v>
      </c>
      <c r="J195" t="s">
        <v>50</v>
      </c>
      <c r="K195">
        <v>0</v>
      </c>
      <c r="L195">
        <v>0</v>
      </c>
      <c r="M195">
        <v>1</v>
      </c>
      <c r="O195">
        <v>0</v>
      </c>
      <c r="P195">
        <v>0</v>
      </c>
      <c r="Q195">
        <v>0</v>
      </c>
      <c r="R195" t="s">
        <v>51</v>
      </c>
      <c r="S195">
        <v>0</v>
      </c>
      <c r="T195">
        <v>0</v>
      </c>
      <c r="U195">
        <v>1</v>
      </c>
      <c r="V195" t="s">
        <v>53</v>
      </c>
      <c r="W195">
        <v>0</v>
      </c>
      <c r="X195">
        <v>1</v>
      </c>
      <c r="Y195" t="s">
        <v>53</v>
      </c>
      <c r="Z195">
        <v>0</v>
      </c>
      <c r="AA195">
        <v>1</v>
      </c>
      <c r="AB195" t="s">
        <v>54</v>
      </c>
      <c r="AC195" t="s">
        <v>98</v>
      </c>
      <c r="AD195" t="s">
        <v>98</v>
      </c>
      <c r="AE195">
        <v>1</v>
      </c>
      <c r="AF195">
        <v>1</v>
      </c>
    </row>
    <row r="196" spans="1:32" x14ac:dyDescent="0.2">
      <c r="A196" t="s">
        <v>92</v>
      </c>
      <c r="B196" t="s">
        <v>167</v>
      </c>
      <c r="C196" t="s">
        <v>168</v>
      </c>
      <c r="D196" t="s">
        <v>95</v>
      </c>
      <c r="E196" t="s">
        <v>96</v>
      </c>
      <c r="F196" t="s">
        <v>265</v>
      </c>
      <c r="G196">
        <v>43</v>
      </c>
      <c r="H196" t="s">
        <v>56</v>
      </c>
      <c r="I196" t="s">
        <v>64</v>
      </c>
      <c r="J196" t="s">
        <v>144</v>
      </c>
      <c r="K196">
        <v>0</v>
      </c>
      <c r="L196">
        <v>1</v>
      </c>
      <c r="M196">
        <v>1</v>
      </c>
      <c r="N196" t="s">
        <v>73</v>
      </c>
      <c r="O196">
        <v>1</v>
      </c>
      <c r="P196">
        <v>0</v>
      </c>
      <c r="Q196">
        <v>1</v>
      </c>
      <c r="R196" t="s">
        <v>60</v>
      </c>
      <c r="S196">
        <v>0</v>
      </c>
      <c r="T196">
        <v>1</v>
      </c>
      <c r="U196">
        <v>1</v>
      </c>
      <c r="V196" t="s">
        <v>53</v>
      </c>
      <c r="W196">
        <v>0</v>
      </c>
      <c r="X196">
        <v>1</v>
      </c>
      <c r="Y196" t="s">
        <v>53</v>
      </c>
      <c r="Z196">
        <v>0</v>
      </c>
      <c r="AA196">
        <v>1</v>
      </c>
      <c r="AB196" t="s">
        <v>54</v>
      </c>
      <c r="AC196" t="s">
        <v>98</v>
      </c>
      <c r="AD196" t="s">
        <v>98</v>
      </c>
      <c r="AE196">
        <v>1</v>
      </c>
      <c r="AF196">
        <v>1</v>
      </c>
    </row>
    <row r="197" spans="1:32" x14ac:dyDescent="0.2">
      <c r="A197" t="s">
        <v>92</v>
      </c>
      <c r="B197" t="s">
        <v>167</v>
      </c>
      <c r="C197" t="s">
        <v>168</v>
      </c>
      <c r="D197" t="s">
        <v>95</v>
      </c>
      <c r="E197" t="s">
        <v>96</v>
      </c>
      <c r="F197" t="s">
        <v>266</v>
      </c>
      <c r="G197">
        <v>30</v>
      </c>
      <c r="H197" t="s">
        <v>48</v>
      </c>
      <c r="I197" t="s">
        <v>49</v>
      </c>
      <c r="J197" t="s">
        <v>50</v>
      </c>
      <c r="K197">
        <v>0</v>
      </c>
      <c r="L197">
        <v>0</v>
      </c>
      <c r="M197">
        <v>1</v>
      </c>
      <c r="N197" t="s">
        <v>65</v>
      </c>
      <c r="O197">
        <v>0</v>
      </c>
      <c r="P197">
        <v>1</v>
      </c>
      <c r="Q197">
        <v>1</v>
      </c>
      <c r="R197" t="s">
        <v>62</v>
      </c>
      <c r="S197">
        <v>1</v>
      </c>
      <c r="T197">
        <v>0</v>
      </c>
      <c r="U197">
        <v>1</v>
      </c>
      <c r="V197" t="s">
        <v>53</v>
      </c>
      <c r="W197">
        <v>0</v>
      </c>
      <c r="X197">
        <v>1</v>
      </c>
      <c r="Y197" t="s">
        <v>53</v>
      </c>
      <c r="Z197">
        <v>0</v>
      </c>
      <c r="AA197">
        <v>1</v>
      </c>
      <c r="AB197" t="s">
        <v>54</v>
      </c>
      <c r="AC197" t="s">
        <v>98</v>
      </c>
      <c r="AD197" t="s">
        <v>98</v>
      </c>
      <c r="AE197">
        <v>1</v>
      </c>
      <c r="AF197">
        <v>1</v>
      </c>
    </row>
    <row r="198" spans="1:32" x14ac:dyDescent="0.2">
      <c r="A198" t="s">
        <v>92</v>
      </c>
      <c r="B198" t="s">
        <v>167</v>
      </c>
      <c r="C198" t="s">
        <v>168</v>
      </c>
      <c r="D198" t="s">
        <v>95</v>
      </c>
      <c r="E198" t="s">
        <v>96</v>
      </c>
      <c r="F198" t="s">
        <v>267</v>
      </c>
      <c r="G198">
        <v>45</v>
      </c>
      <c r="H198" t="s">
        <v>56</v>
      </c>
      <c r="I198" t="s">
        <v>64</v>
      </c>
      <c r="J198" t="s">
        <v>50</v>
      </c>
      <c r="K198">
        <v>0</v>
      </c>
      <c r="L198">
        <v>0</v>
      </c>
      <c r="M198">
        <v>1</v>
      </c>
      <c r="O198">
        <v>0</v>
      </c>
      <c r="P198">
        <v>0</v>
      </c>
      <c r="Q198">
        <v>0</v>
      </c>
      <c r="R198" t="s">
        <v>62</v>
      </c>
      <c r="S198">
        <v>1</v>
      </c>
      <c r="T198">
        <v>0</v>
      </c>
      <c r="U198">
        <v>1</v>
      </c>
      <c r="V198" t="s">
        <v>53</v>
      </c>
      <c r="W198">
        <v>0</v>
      </c>
      <c r="X198">
        <v>1</v>
      </c>
      <c r="Y198" t="s">
        <v>53</v>
      </c>
      <c r="Z198">
        <v>0</v>
      </c>
      <c r="AA198">
        <v>1</v>
      </c>
      <c r="AB198" t="s">
        <v>54</v>
      </c>
      <c r="AC198" t="s">
        <v>98</v>
      </c>
      <c r="AD198" t="s">
        <v>98</v>
      </c>
      <c r="AE198">
        <v>1</v>
      </c>
      <c r="AF198">
        <v>1</v>
      </c>
    </row>
    <row r="199" spans="1:32" x14ac:dyDescent="0.2">
      <c r="A199" t="s">
        <v>92</v>
      </c>
      <c r="B199" t="s">
        <v>167</v>
      </c>
      <c r="C199" t="s">
        <v>168</v>
      </c>
      <c r="D199" t="s">
        <v>95</v>
      </c>
      <c r="E199" t="s">
        <v>96</v>
      </c>
      <c r="F199" t="s">
        <v>268</v>
      </c>
      <c r="G199">
        <v>39</v>
      </c>
      <c r="H199" t="s">
        <v>48</v>
      </c>
      <c r="I199" t="s">
        <v>64</v>
      </c>
      <c r="J199" t="s">
        <v>50</v>
      </c>
      <c r="K199">
        <v>0</v>
      </c>
      <c r="L199">
        <v>0</v>
      </c>
      <c r="M199">
        <v>1</v>
      </c>
      <c r="O199">
        <v>0</v>
      </c>
      <c r="P199">
        <v>0</v>
      </c>
      <c r="Q199">
        <v>0</v>
      </c>
      <c r="R199" t="s">
        <v>62</v>
      </c>
      <c r="S199">
        <v>1</v>
      </c>
      <c r="T199">
        <v>0</v>
      </c>
      <c r="U199">
        <v>1</v>
      </c>
      <c r="V199" t="s">
        <v>52</v>
      </c>
      <c r="W199">
        <v>1</v>
      </c>
      <c r="X199">
        <v>1</v>
      </c>
      <c r="Y199" t="s">
        <v>53</v>
      </c>
      <c r="Z199">
        <v>0</v>
      </c>
      <c r="AA199">
        <v>1</v>
      </c>
      <c r="AB199" t="s">
        <v>54</v>
      </c>
      <c r="AC199" t="s">
        <v>98</v>
      </c>
      <c r="AD199" t="s">
        <v>98</v>
      </c>
      <c r="AE199">
        <v>1</v>
      </c>
      <c r="AF199">
        <v>1</v>
      </c>
    </row>
    <row r="200" spans="1:32" x14ac:dyDescent="0.2">
      <c r="A200" t="s">
        <v>92</v>
      </c>
      <c r="B200" t="s">
        <v>167</v>
      </c>
      <c r="C200" t="s">
        <v>168</v>
      </c>
      <c r="D200" t="s">
        <v>95</v>
      </c>
      <c r="E200" t="s">
        <v>96</v>
      </c>
      <c r="F200" t="s">
        <v>269</v>
      </c>
      <c r="G200">
        <v>45</v>
      </c>
      <c r="H200" t="s">
        <v>48</v>
      </c>
      <c r="I200" t="s">
        <v>64</v>
      </c>
      <c r="J200" t="s">
        <v>50</v>
      </c>
      <c r="K200">
        <v>0</v>
      </c>
      <c r="L200">
        <v>0</v>
      </c>
      <c r="M200">
        <v>1</v>
      </c>
      <c r="O200">
        <v>0</v>
      </c>
      <c r="P200">
        <v>0</v>
      </c>
      <c r="Q200">
        <v>0</v>
      </c>
      <c r="R200" t="s">
        <v>60</v>
      </c>
      <c r="S200">
        <v>0</v>
      </c>
      <c r="T200">
        <v>1</v>
      </c>
      <c r="U200">
        <v>1</v>
      </c>
      <c r="V200" t="s">
        <v>52</v>
      </c>
      <c r="W200">
        <v>1</v>
      </c>
      <c r="X200">
        <v>1</v>
      </c>
      <c r="Y200" t="s">
        <v>52</v>
      </c>
      <c r="Z200">
        <v>1</v>
      </c>
      <c r="AA200">
        <v>1</v>
      </c>
      <c r="AB200" t="s">
        <v>54</v>
      </c>
      <c r="AC200" t="s">
        <v>98</v>
      </c>
      <c r="AD200" t="s">
        <v>98</v>
      </c>
      <c r="AE200">
        <v>1</v>
      </c>
      <c r="AF200">
        <v>1</v>
      </c>
    </row>
    <row r="201" spans="1:32" x14ac:dyDescent="0.2">
      <c r="A201" t="s">
        <v>92</v>
      </c>
      <c r="B201" t="s">
        <v>167</v>
      </c>
      <c r="C201" t="s">
        <v>168</v>
      </c>
      <c r="D201" t="s">
        <v>95</v>
      </c>
      <c r="E201" t="s">
        <v>96</v>
      </c>
      <c r="F201" t="s">
        <v>270</v>
      </c>
      <c r="G201">
        <v>33</v>
      </c>
      <c r="H201" t="s">
        <v>56</v>
      </c>
      <c r="I201" t="s">
        <v>49</v>
      </c>
      <c r="J201" t="s">
        <v>50</v>
      </c>
      <c r="K201">
        <v>0</v>
      </c>
      <c r="L201">
        <v>0</v>
      </c>
      <c r="M201">
        <v>1</v>
      </c>
      <c r="O201">
        <v>0</v>
      </c>
      <c r="P201">
        <v>0</v>
      </c>
      <c r="Q201">
        <v>0</v>
      </c>
      <c r="R201" t="s">
        <v>62</v>
      </c>
      <c r="S201">
        <v>1</v>
      </c>
      <c r="T201">
        <v>0</v>
      </c>
      <c r="U201">
        <v>1</v>
      </c>
      <c r="V201" t="s">
        <v>53</v>
      </c>
      <c r="W201">
        <v>0</v>
      </c>
      <c r="X201">
        <v>1</v>
      </c>
      <c r="Y201" t="s">
        <v>53</v>
      </c>
      <c r="Z201">
        <v>0</v>
      </c>
      <c r="AA201">
        <v>1</v>
      </c>
      <c r="AB201" t="s">
        <v>54</v>
      </c>
      <c r="AC201" t="s">
        <v>98</v>
      </c>
      <c r="AD201" t="s">
        <v>98</v>
      </c>
      <c r="AE201">
        <v>1</v>
      </c>
      <c r="AF201">
        <v>1</v>
      </c>
    </row>
    <row r="202" spans="1:32" x14ac:dyDescent="0.2">
      <c r="A202" t="s">
        <v>92</v>
      </c>
      <c r="B202" t="s">
        <v>167</v>
      </c>
      <c r="C202" t="s">
        <v>168</v>
      </c>
      <c r="D202" t="s">
        <v>95</v>
      </c>
      <c r="E202" t="s">
        <v>96</v>
      </c>
      <c r="F202" t="s">
        <v>271</v>
      </c>
      <c r="G202">
        <v>36</v>
      </c>
      <c r="H202" t="s">
        <v>56</v>
      </c>
      <c r="I202" t="s">
        <v>64</v>
      </c>
      <c r="J202" t="s">
        <v>50</v>
      </c>
      <c r="K202">
        <v>0</v>
      </c>
      <c r="L202">
        <v>0</v>
      </c>
      <c r="M202">
        <v>1</v>
      </c>
      <c r="N202" t="s">
        <v>65</v>
      </c>
      <c r="O202">
        <v>0</v>
      </c>
      <c r="P202">
        <v>1</v>
      </c>
      <c r="Q202">
        <v>1</v>
      </c>
      <c r="R202" t="s">
        <v>51</v>
      </c>
      <c r="S202">
        <v>0</v>
      </c>
      <c r="T202">
        <v>0</v>
      </c>
      <c r="U202">
        <v>1</v>
      </c>
      <c r="V202" t="s">
        <v>53</v>
      </c>
      <c r="W202">
        <v>0</v>
      </c>
      <c r="X202">
        <v>1</v>
      </c>
      <c r="Y202" t="s">
        <v>53</v>
      </c>
      <c r="Z202">
        <v>0</v>
      </c>
      <c r="AA202">
        <v>1</v>
      </c>
      <c r="AB202" t="s">
        <v>54</v>
      </c>
      <c r="AC202" t="s">
        <v>98</v>
      </c>
      <c r="AD202" t="s">
        <v>98</v>
      </c>
      <c r="AE202">
        <v>1</v>
      </c>
      <c r="AF202">
        <v>1</v>
      </c>
    </row>
    <row r="203" spans="1:32" x14ac:dyDescent="0.2">
      <c r="A203" t="s">
        <v>92</v>
      </c>
      <c r="B203" t="s">
        <v>167</v>
      </c>
      <c r="C203" t="s">
        <v>168</v>
      </c>
      <c r="D203" t="s">
        <v>95</v>
      </c>
      <c r="E203" t="s">
        <v>96</v>
      </c>
      <c r="F203" t="s">
        <v>272</v>
      </c>
      <c r="G203">
        <v>45</v>
      </c>
      <c r="H203" t="s">
        <v>56</v>
      </c>
      <c r="I203" t="s">
        <v>64</v>
      </c>
      <c r="J203" t="s">
        <v>50</v>
      </c>
      <c r="K203">
        <v>0</v>
      </c>
      <c r="L203">
        <v>0</v>
      </c>
      <c r="M203">
        <v>1</v>
      </c>
      <c r="N203" t="s">
        <v>65</v>
      </c>
      <c r="O203">
        <v>0</v>
      </c>
      <c r="P203">
        <v>1</v>
      </c>
      <c r="Q203">
        <v>1</v>
      </c>
      <c r="R203" t="s">
        <v>51</v>
      </c>
      <c r="S203">
        <v>0</v>
      </c>
      <c r="T203">
        <v>0</v>
      </c>
      <c r="U203">
        <v>1</v>
      </c>
      <c r="V203" t="s">
        <v>53</v>
      </c>
      <c r="W203">
        <v>0</v>
      </c>
      <c r="X203">
        <v>1</v>
      </c>
      <c r="Y203" t="s">
        <v>52</v>
      </c>
      <c r="Z203">
        <v>1</v>
      </c>
      <c r="AA203">
        <v>1</v>
      </c>
      <c r="AB203" t="s">
        <v>54</v>
      </c>
      <c r="AC203" t="s">
        <v>98</v>
      </c>
      <c r="AD203" t="s">
        <v>98</v>
      </c>
      <c r="AE203">
        <v>1</v>
      </c>
      <c r="AF203">
        <v>1</v>
      </c>
    </row>
    <row r="204" spans="1:32" x14ac:dyDescent="0.2">
      <c r="A204" t="s">
        <v>92</v>
      </c>
      <c r="B204" t="s">
        <v>167</v>
      </c>
      <c r="C204" t="s">
        <v>168</v>
      </c>
      <c r="D204" t="s">
        <v>95</v>
      </c>
      <c r="E204" t="s">
        <v>96</v>
      </c>
      <c r="F204" t="s">
        <v>273</v>
      </c>
      <c r="G204">
        <v>36</v>
      </c>
      <c r="H204" t="s">
        <v>56</v>
      </c>
      <c r="I204" t="s">
        <v>64</v>
      </c>
      <c r="J204" t="s">
        <v>50</v>
      </c>
      <c r="K204">
        <v>0</v>
      </c>
      <c r="L204">
        <v>0</v>
      </c>
      <c r="M204">
        <v>1</v>
      </c>
      <c r="N204" t="s">
        <v>65</v>
      </c>
      <c r="O204">
        <v>0</v>
      </c>
      <c r="P204">
        <v>1</v>
      </c>
      <c r="Q204">
        <v>1</v>
      </c>
      <c r="R204" t="s">
        <v>60</v>
      </c>
      <c r="S204">
        <v>0</v>
      </c>
      <c r="T204">
        <v>1</v>
      </c>
      <c r="U204">
        <v>1</v>
      </c>
      <c r="V204" t="s">
        <v>53</v>
      </c>
      <c r="W204">
        <v>0</v>
      </c>
      <c r="X204">
        <v>1</v>
      </c>
      <c r="Y204" t="s">
        <v>52</v>
      </c>
      <c r="Z204">
        <v>1</v>
      </c>
      <c r="AA204">
        <v>1</v>
      </c>
      <c r="AB204" t="s">
        <v>54</v>
      </c>
      <c r="AC204" t="s">
        <v>98</v>
      </c>
      <c r="AD204" t="s">
        <v>98</v>
      </c>
      <c r="AE204">
        <v>1</v>
      </c>
      <c r="AF204">
        <v>1</v>
      </c>
    </row>
    <row r="205" spans="1:32" x14ac:dyDescent="0.2">
      <c r="A205" t="s">
        <v>92</v>
      </c>
      <c r="B205" t="s">
        <v>167</v>
      </c>
      <c r="C205" t="s">
        <v>168</v>
      </c>
      <c r="D205" t="s">
        <v>112</v>
      </c>
      <c r="E205" t="s">
        <v>113</v>
      </c>
      <c r="F205" t="s">
        <v>274</v>
      </c>
      <c r="G205">
        <v>48</v>
      </c>
      <c r="H205" t="s">
        <v>48</v>
      </c>
      <c r="I205" t="s">
        <v>70</v>
      </c>
      <c r="J205" t="s">
        <v>50</v>
      </c>
      <c r="K205">
        <v>0</v>
      </c>
      <c r="L205">
        <v>0</v>
      </c>
      <c r="M205">
        <v>1</v>
      </c>
      <c r="N205" t="s">
        <v>65</v>
      </c>
      <c r="O205">
        <v>0</v>
      </c>
      <c r="P205">
        <v>1</v>
      </c>
      <c r="Q205">
        <v>1</v>
      </c>
      <c r="R205" t="s">
        <v>60</v>
      </c>
      <c r="S205">
        <v>0</v>
      </c>
      <c r="T205">
        <v>1</v>
      </c>
      <c r="U205">
        <v>1</v>
      </c>
      <c r="V205" t="s">
        <v>53</v>
      </c>
      <c r="W205">
        <v>0</v>
      </c>
      <c r="X205">
        <v>1</v>
      </c>
      <c r="Y205" t="s">
        <v>52</v>
      </c>
      <c r="Z205">
        <v>1</v>
      </c>
      <c r="AA205">
        <v>1</v>
      </c>
      <c r="AB205" t="s">
        <v>54</v>
      </c>
      <c r="AC205" t="s">
        <v>98</v>
      </c>
      <c r="AD205" t="s">
        <v>98</v>
      </c>
      <c r="AE205">
        <v>1</v>
      </c>
      <c r="AF205">
        <v>1</v>
      </c>
    </row>
    <row r="206" spans="1:32" x14ac:dyDescent="0.2">
      <c r="A206" t="s">
        <v>92</v>
      </c>
      <c r="B206" t="s">
        <v>167</v>
      </c>
      <c r="C206" t="s">
        <v>168</v>
      </c>
      <c r="D206" t="s">
        <v>95</v>
      </c>
      <c r="E206" t="s">
        <v>96</v>
      </c>
      <c r="F206" t="s">
        <v>275</v>
      </c>
      <c r="G206">
        <v>42</v>
      </c>
      <c r="H206" t="s">
        <v>56</v>
      </c>
      <c r="I206" t="s">
        <v>64</v>
      </c>
      <c r="J206" t="s">
        <v>50</v>
      </c>
      <c r="K206">
        <v>0</v>
      </c>
      <c r="L206">
        <v>0</v>
      </c>
      <c r="M206">
        <v>1</v>
      </c>
      <c r="O206">
        <v>0</v>
      </c>
      <c r="P206">
        <v>0</v>
      </c>
      <c r="Q206">
        <v>0</v>
      </c>
      <c r="R206" t="s">
        <v>51</v>
      </c>
      <c r="S206">
        <v>0</v>
      </c>
      <c r="T206">
        <v>0</v>
      </c>
      <c r="U206">
        <v>1</v>
      </c>
      <c r="V206" t="s">
        <v>53</v>
      </c>
      <c r="W206">
        <v>0</v>
      </c>
      <c r="X206">
        <v>1</v>
      </c>
      <c r="Y206" t="s">
        <v>53</v>
      </c>
      <c r="Z206">
        <v>0</v>
      </c>
      <c r="AA206">
        <v>1</v>
      </c>
      <c r="AB206" t="s">
        <v>54</v>
      </c>
      <c r="AC206" t="s">
        <v>98</v>
      </c>
      <c r="AD206" t="s">
        <v>98</v>
      </c>
      <c r="AE206">
        <v>1</v>
      </c>
      <c r="AF206">
        <v>1</v>
      </c>
    </row>
    <row r="207" spans="1:32" x14ac:dyDescent="0.2">
      <c r="A207" t="s">
        <v>92</v>
      </c>
      <c r="B207" t="s">
        <v>167</v>
      </c>
      <c r="C207" t="s">
        <v>168</v>
      </c>
      <c r="D207" t="s">
        <v>112</v>
      </c>
      <c r="E207" t="s">
        <v>113</v>
      </c>
      <c r="F207" t="s">
        <v>276</v>
      </c>
      <c r="G207">
        <v>36</v>
      </c>
      <c r="H207" t="s">
        <v>56</v>
      </c>
      <c r="I207" t="s">
        <v>64</v>
      </c>
      <c r="J207" t="s">
        <v>144</v>
      </c>
      <c r="K207">
        <v>0</v>
      </c>
      <c r="L207">
        <v>1</v>
      </c>
      <c r="M207">
        <v>1</v>
      </c>
      <c r="O207">
        <v>0</v>
      </c>
      <c r="P207">
        <v>0</v>
      </c>
      <c r="Q207">
        <v>0</v>
      </c>
      <c r="R207" t="s">
        <v>62</v>
      </c>
      <c r="S207">
        <v>1</v>
      </c>
      <c r="T207">
        <v>0</v>
      </c>
      <c r="U207">
        <v>1</v>
      </c>
      <c r="V207" t="s">
        <v>53</v>
      </c>
      <c r="W207">
        <v>0</v>
      </c>
      <c r="X207">
        <v>1</v>
      </c>
      <c r="Y207" t="s">
        <v>53</v>
      </c>
      <c r="Z207">
        <v>0</v>
      </c>
      <c r="AA207">
        <v>1</v>
      </c>
      <c r="AB207" t="s">
        <v>54</v>
      </c>
      <c r="AC207" t="s">
        <v>98</v>
      </c>
      <c r="AD207" t="s">
        <v>98</v>
      </c>
      <c r="AE207">
        <v>1</v>
      </c>
      <c r="AF207">
        <v>1</v>
      </c>
    </row>
    <row r="208" spans="1:32" x14ac:dyDescent="0.2">
      <c r="A208" t="s">
        <v>92</v>
      </c>
      <c r="B208" t="s">
        <v>167</v>
      </c>
      <c r="C208" t="s">
        <v>168</v>
      </c>
      <c r="D208" t="s">
        <v>95</v>
      </c>
      <c r="E208" t="s">
        <v>96</v>
      </c>
      <c r="F208" t="s">
        <v>277</v>
      </c>
      <c r="G208">
        <v>42</v>
      </c>
      <c r="H208" t="s">
        <v>48</v>
      </c>
      <c r="I208" t="s">
        <v>64</v>
      </c>
      <c r="J208" t="s">
        <v>144</v>
      </c>
      <c r="K208">
        <v>0</v>
      </c>
      <c r="L208">
        <v>1</v>
      </c>
      <c r="M208">
        <v>1</v>
      </c>
      <c r="N208" t="s">
        <v>65</v>
      </c>
      <c r="O208">
        <v>0</v>
      </c>
      <c r="P208">
        <v>1</v>
      </c>
      <c r="Q208">
        <v>1</v>
      </c>
      <c r="R208" t="s">
        <v>60</v>
      </c>
      <c r="S208">
        <v>0</v>
      </c>
      <c r="T208">
        <v>1</v>
      </c>
      <c r="U208">
        <v>1</v>
      </c>
      <c r="V208" t="s">
        <v>53</v>
      </c>
      <c r="W208">
        <v>0</v>
      </c>
      <c r="X208">
        <v>1</v>
      </c>
      <c r="Y208" t="s">
        <v>52</v>
      </c>
      <c r="Z208">
        <v>1</v>
      </c>
      <c r="AA208">
        <v>1</v>
      </c>
      <c r="AB208" t="s">
        <v>54</v>
      </c>
      <c r="AC208" t="s">
        <v>98</v>
      </c>
      <c r="AD208" t="s">
        <v>98</v>
      </c>
      <c r="AE208">
        <v>1</v>
      </c>
      <c r="AF208">
        <v>1</v>
      </c>
    </row>
    <row r="209" spans="1:32" x14ac:dyDescent="0.2">
      <c r="A209" t="s">
        <v>92</v>
      </c>
      <c r="B209" t="s">
        <v>167</v>
      </c>
      <c r="C209" t="s">
        <v>168</v>
      </c>
      <c r="D209" t="s">
        <v>95</v>
      </c>
      <c r="E209" t="s">
        <v>96</v>
      </c>
      <c r="F209" t="s">
        <v>278</v>
      </c>
      <c r="G209">
        <v>29</v>
      </c>
      <c r="H209" t="s">
        <v>48</v>
      </c>
      <c r="I209" t="s">
        <v>49</v>
      </c>
      <c r="J209" t="s">
        <v>50</v>
      </c>
      <c r="K209">
        <v>0</v>
      </c>
      <c r="L209">
        <v>0</v>
      </c>
      <c r="M209">
        <v>1</v>
      </c>
      <c r="N209" t="s">
        <v>65</v>
      </c>
      <c r="O209">
        <v>0</v>
      </c>
      <c r="P209">
        <v>1</v>
      </c>
      <c r="Q209">
        <v>1</v>
      </c>
      <c r="R209" t="s">
        <v>60</v>
      </c>
      <c r="S209">
        <v>0</v>
      </c>
      <c r="T209">
        <v>1</v>
      </c>
      <c r="U209">
        <v>1</v>
      </c>
      <c r="V209" t="s">
        <v>53</v>
      </c>
      <c r="W209">
        <v>0</v>
      </c>
      <c r="X209">
        <v>1</v>
      </c>
      <c r="Y209" t="s">
        <v>52</v>
      </c>
      <c r="Z209">
        <v>1</v>
      </c>
      <c r="AA209">
        <v>1</v>
      </c>
      <c r="AB209" t="s">
        <v>54</v>
      </c>
      <c r="AC209" t="s">
        <v>98</v>
      </c>
      <c r="AD209" t="s">
        <v>98</v>
      </c>
      <c r="AE209">
        <v>1</v>
      </c>
      <c r="AF209">
        <v>1</v>
      </c>
    </row>
    <row r="210" spans="1:32" x14ac:dyDescent="0.2">
      <c r="A210" t="s">
        <v>92</v>
      </c>
      <c r="B210" t="s">
        <v>167</v>
      </c>
      <c r="C210" t="s">
        <v>168</v>
      </c>
      <c r="D210" t="s">
        <v>95</v>
      </c>
      <c r="E210" t="s">
        <v>96</v>
      </c>
      <c r="F210" t="s">
        <v>279</v>
      </c>
      <c r="G210">
        <v>50</v>
      </c>
      <c r="H210" t="s">
        <v>48</v>
      </c>
      <c r="I210" t="s">
        <v>70</v>
      </c>
      <c r="J210" t="s">
        <v>144</v>
      </c>
      <c r="K210">
        <v>0</v>
      </c>
      <c r="L210">
        <v>1</v>
      </c>
      <c r="M210">
        <v>1</v>
      </c>
      <c r="O210">
        <v>0</v>
      </c>
      <c r="P210">
        <v>0</v>
      </c>
      <c r="Q210">
        <v>0</v>
      </c>
      <c r="R210" t="s">
        <v>62</v>
      </c>
      <c r="S210">
        <v>1</v>
      </c>
      <c r="T210">
        <v>0</v>
      </c>
      <c r="U210">
        <v>1</v>
      </c>
      <c r="V210" t="s">
        <v>53</v>
      </c>
      <c r="W210">
        <v>0</v>
      </c>
      <c r="X210">
        <v>1</v>
      </c>
      <c r="Y210" t="s">
        <v>53</v>
      </c>
      <c r="Z210">
        <v>0</v>
      </c>
      <c r="AA210">
        <v>1</v>
      </c>
      <c r="AB210" t="s">
        <v>54</v>
      </c>
      <c r="AC210" t="s">
        <v>98</v>
      </c>
      <c r="AD210" t="s">
        <v>98</v>
      </c>
      <c r="AE210">
        <v>1</v>
      </c>
      <c r="AF210">
        <v>1</v>
      </c>
    </row>
    <row r="211" spans="1:32" x14ac:dyDescent="0.2">
      <c r="A211" t="s">
        <v>92</v>
      </c>
      <c r="B211" t="s">
        <v>167</v>
      </c>
      <c r="C211" t="s">
        <v>168</v>
      </c>
      <c r="D211" t="s">
        <v>95</v>
      </c>
      <c r="E211" t="s">
        <v>96</v>
      </c>
      <c r="F211" t="s">
        <v>280</v>
      </c>
      <c r="G211">
        <v>50</v>
      </c>
      <c r="H211" t="s">
        <v>56</v>
      </c>
      <c r="I211" t="s">
        <v>70</v>
      </c>
      <c r="J211" t="s">
        <v>50</v>
      </c>
      <c r="K211">
        <v>0</v>
      </c>
      <c r="L211">
        <v>0</v>
      </c>
      <c r="M211">
        <v>1</v>
      </c>
      <c r="O211">
        <v>0</v>
      </c>
      <c r="P211">
        <v>0</v>
      </c>
      <c r="Q211">
        <v>0</v>
      </c>
      <c r="R211" t="s">
        <v>51</v>
      </c>
      <c r="S211">
        <v>0</v>
      </c>
      <c r="T211">
        <v>0</v>
      </c>
      <c r="U211">
        <v>1</v>
      </c>
      <c r="V211" t="s">
        <v>53</v>
      </c>
      <c r="W211">
        <v>0</v>
      </c>
      <c r="X211">
        <v>1</v>
      </c>
      <c r="Y211" t="s">
        <v>52</v>
      </c>
      <c r="Z211">
        <v>1</v>
      </c>
      <c r="AA211">
        <v>1</v>
      </c>
      <c r="AB211" t="s">
        <v>54</v>
      </c>
      <c r="AC211" t="s">
        <v>98</v>
      </c>
      <c r="AD211" t="s">
        <v>98</v>
      </c>
      <c r="AE211">
        <v>1</v>
      </c>
      <c r="AF211">
        <v>1</v>
      </c>
    </row>
    <row r="212" spans="1:32" x14ac:dyDescent="0.2">
      <c r="A212" t="s">
        <v>92</v>
      </c>
      <c r="B212" t="s">
        <v>167</v>
      </c>
      <c r="C212" t="s">
        <v>168</v>
      </c>
      <c r="D212" t="s">
        <v>95</v>
      </c>
      <c r="E212" t="s">
        <v>96</v>
      </c>
      <c r="F212" t="s">
        <v>281</v>
      </c>
      <c r="G212">
        <v>39</v>
      </c>
      <c r="H212" t="s">
        <v>56</v>
      </c>
      <c r="I212" t="s">
        <v>64</v>
      </c>
      <c r="J212" t="s">
        <v>144</v>
      </c>
      <c r="K212">
        <v>0</v>
      </c>
      <c r="L212">
        <v>1</v>
      </c>
      <c r="M212">
        <v>1</v>
      </c>
      <c r="O212">
        <v>0</v>
      </c>
      <c r="P212">
        <v>0</v>
      </c>
      <c r="Q212">
        <v>0</v>
      </c>
      <c r="R212" t="s">
        <v>62</v>
      </c>
      <c r="S212">
        <v>1</v>
      </c>
      <c r="T212">
        <v>0</v>
      </c>
      <c r="U212">
        <v>1</v>
      </c>
      <c r="V212" t="s">
        <v>53</v>
      </c>
      <c r="W212">
        <v>0</v>
      </c>
      <c r="X212">
        <v>1</v>
      </c>
      <c r="Y212" t="s">
        <v>53</v>
      </c>
      <c r="Z212">
        <v>0</v>
      </c>
      <c r="AA212">
        <v>1</v>
      </c>
      <c r="AB212" t="s">
        <v>54</v>
      </c>
      <c r="AC212" t="s">
        <v>98</v>
      </c>
      <c r="AD212" t="s">
        <v>98</v>
      </c>
      <c r="AE212">
        <v>1</v>
      </c>
      <c r="AF212">
        <v>1</v>
      </c>
    </row>
    <row r="213" spans="1:32" x14ac:dyDescent="0.2">
      <c r="A213" t="s">
        <v>92</v>
      </c>
      <c r="B213" t="s">
        <v>167</v>
      </c>
      <c r="C213" t="s">
        <v>168</v>
      </c>
      <c r="D213" t="s">
        <v>95</v>
      </c>
      <c r="E213" t="s">
        <v>96</v>
      </c>
      <c r="F213" t="s">
        <v>282</v>
      </c>
      <c r="G213">
        <v>60</v>
      </c>
      <c r="H213" t="s">
        <v>48</v>
      </c>
      <c r="I213" t="s">
        <v>85</v>
      </c>
      <c r="J213" t="s">
        <v>50</v>
      </c>
      <c r="K213">
        <v>0</v>
      </c>
      <c r="L213">
        <v>0</v>
      </c>
      <c r="M213">
        <v>1</v>
      </c>
      <c r="O213">
        <v>0</v>
      </c>
      <c r="P213">
        <v>0</v>
      </c>
      <c r="Q213">
        <v>0</v>
      </c>
      <c r="R213" t="s">
        <v>51</v>
      </c>
      <c r="S213">
        <v>0</v>
      </c>
      <c r="T213">
        <v>0</v>
      </c>
      <c r="U213">
        <v>1</v>
      </c>
      <c r="V213" t="s">
        <v>53</v>
      </c>
      <c r="W213">
        <v>0</v>
      </c>
      <c r="X213">
        <v>1</v>
      </c>
      <c r="Y213" t="s">
        <v>53</v>
      </c>
      <c r="Z213">
        <v>0</v>
      </c>
      <c r="AA213">
        <v>1</v>
      </c>
      <c r="AB213" t="s">
        <v>54</v>
      </c>
      <c r="AC213" t="s">
        <v>98</v>
      </c>
      <c r="AD213" t="s">
        <v>98</v>
      </c>
      <c r="AE213">
        <v>1</v>
      </c>
      <c r="AF213">
        <v>1</v>
      </c>
    </row>
    <row r="214" spans="1:32" x14ac:dyDescent="0.2">
      <c r="A214" t="s">
        <v>92</v>
      </c>
      <c r="B214" t="s">
        <v>167</v>
      </c>
      <c r="C214" t="s">
        <v>168</v>
      </c>
      <c r="D214" t="s">
        <v>112</v>
      </c>
      <c r="E214" t="s">
        <v>113</v>
      </c>
      <c r="F214" t="s">
        <v>283</v>
      </c>
      <c r="G214">
        <v>48</v>
      </c>
      <c r="H214" t="s">
        <v>48</v>
      </c>
      <c r="I214" t="s">
        <v>70</v>
      </c>
      <c r="J214" t="s">
        <v>50</v>
      </c>
      <c r="K214">
        <v>0</v>
      </c>
      <c r="L214">
        <v>0</v>
      </c>
      <c r="M214">
        <v>1</v>
      </c>
      <c r="N214" t="s">
        <v>65</v>
      </c>
      <c r="O214">
        <v>0</v>
      </c>
      <c r="P214">
        <v>1</v>
      </c>
      <c r="Q214">
        <v>1</v>
      </c>
      <c r="R214" t="s">
        <v>62</v>
      </c>
      <c r="S214">
        <v>1</v>
      </c>
      <c r="T214">
        <v>0</v>
      </c>
      <c r="U214">
        <v>1</v>
      </c>
      <c r="V214" t="s">
        <v>53</v>
      </c>
      <c r="W214">
        <v>0</v>
      </c>
      <c r="X214">
        <v>1</v>
      </c>
      <c r="Y214" t="s">
        <v>52</v>
      </c>
      <c r="Z214">
        <v>1</v>
      </c>
      <c r="AA214">
        <v>1</v>
      </c>
      <c r="AB214" t="s">
        <v>54</v>
      </c>
      <c r="AC214" t="s">
        <v>98</v>
      </c>
      <c r="AD214" t="s">
        <v>98</v>
      </c>
      <c r="AE214">
        <v>1</v>
      </c>
      <c r="AF214">
        <v>1</v>
      </c>
    </row>
    <row r="215" spans="1:32" x14ac:dyDescent="0.2">
      <c r="A215" t="s">
        <v>92</v>
      </c>
      <c r="B215" t="s">
        <v>167</v>
      </c>
      <c r="C215" t="s">
        <v>168</v>
      </c>
      <c r="D215" t="s">
        <v>95</v>
      </c>
      <c r="E215" t="s">
        <v>96</v>
      </c>
      <c r="F215" t="s">
        <v>284</v>
      </c>
      <c r="G215">
        <v>38</v>
      </c>
      <c r="H215" t="s">
        <v>56</v>
      </c>
      <c r="I215" t="s">
        <v>64</v>
      </c>
      <c r="J215" t="s">
        <v>144</v>
      </c>
      <c r="K215">
        <v>0</v>
      </c>
      <c r="L215">
        <v>1</v>
      </c>
      <c r="M215">
        <v>1</v>
      </c>
      <c r="N215" t="s">
        <v>65</v>
      </c>
      <c r="O215">
        <v>0</v>
      </c>
      <c r="P215">
        <v>1</v>
      </c>
      <c r="Q215">
        <v>1</v>
      </c>
      <c r="R215" t="s">
        <v>60</v>
      </c>
      <c r="S215">
        <v>0</v>
      </c>
      <c r="T215">
        <v>1</v>
      </c>
      <c r="U215">
        <v>1</v>
      </c>
      <c r="V215" t="s">
        <v>53</v>
      </c>
      <c r="W215">
        <v>0</v>
      </c>
      <c r="X215">
        <v>1</v>
      </c>
      <c r="Y215" t="s">
        <v>53</v>
      </c>
      <c r="Z215">
        <v>0</v>
      </c>
      <c r="AA215">
        <v>1</v>
      </c>
      <c r="AB215" t="s">
        <v>54</v>
      </c>
      <c r="AC215" t="s">
        <v>98</v>
      </c>
      <c r="AD215" t="s">
        <v>98</v>
      </c>
      <c r="AE215">
        <v>1</v>
      </c>
      <c r="AF215">
        <v>1</v>
      </c>
    </row>
    <row r="216" spans="1:32" x14ac:dyDescent="0.2">
      <c r="A216" t="s">
        <v>92</v>
      </c>
      <c r="B216" t="s">
        <v>167</v>
      </c>
      <c r="C216" t="s">
        <v>168</v>
      </c>
      <c r="D216" t="s">
        <v>112</v>
      </c>
      <c r="E216" t="s">
        <v>113</v>
      </c>
      <c r="F216" t="s">
        <v>285</v>
      </c>
      <c r="G216">
        <v>39</v>
      </c>
      <c r="H216" t="s">
        <v>48</v>
      </c>
      <c r="I216" t="s">
        <v>64</v>
      </c>
      <c r="J216" t="s">
        <v>50</v>
      </c>
      <c r="K216">
        <v>0</v>
      </c>
      <c r="L216">
        <v>0</v>
      </c>
      <c r="M216">
        <v>1</v>
      </c>
      <c r="N216" t="s">
        <v>73</v>
      </c>
      <c r="O216">
        <v>1</v>
      </c>
      <c r="P216">
        <v>0</v>
      </c>
      <c r="Q216">
        <v>1</v>
      </c>
      <c r="R216" t="s">
        <v>60</v>
      </c>
      <c r="S216">
        <v>0</v>
      </c>
      <c r="T216">
        <v>1</v>
      </c>
      <c r="U216">
        <v>1</v>
      </c>
      <c r="V216" t="s">
        <v>52</v>
      </c>
      <c r="W216">
        <v>1</v>
      </c>
      <c r="X216">
        <v>1</v>
      </c>
      <c r="Y216" t="s">
        <v>53</v>
      </c>
      <c r="Z216">
        <v>0</v>
      </c>
      <c r="AA216">
        <v>1</v>
      </c>
      <c r="AB216" t="s">
        <v>54</v>
      </c>
      <c r="AC216" t="s">
        <v>98</v>
      </c>
      <c r="AD216" t="s">
        <v>98</v>
      </c>
      <c r="AE216">
        <v>1</v>
      </c>
      <c r="AF216">
        <v>1</v>
      </c>
    </row>
    <row r="217" spans="1:32" x14ac:dyDescent="0.2">
      <c r="A217" t="s">
        <v>92</v>
      </c>
      <c r="B217" t="s">
        <v>167</v>
      </c>
      <c r="C217" t="s">
        <v>168</v>
      </c>
      <c r="D217" t="s">
        <v>112</v>
      </c>
      <c r="E217" t="s">
        <v>113</v>
      </c>
      <c r="F217" t="s">
        <v>286</v>
      </c>
      <c r="G217">
        <v>29</v>
      </c>
      <c r="H217" t="s">
        <v>56</v>
      </c>
      <c r="I217" t="s">
        <v>49</v>
      </c>
      <c r="J217" t="s">
        <v>50</v>
      </c>
      <c r="K217">
        <v>0</v>
      </c>
      <c r="L217">
        <v>0</v>
      </c>
      <c r="M217">
        <v>1</v>
      </c>
      <c r="O217">
        <v>0</v>
      </c>
      <c r="P217">
        <v>0</v>
      </c>
      <c r="Q217">
        <v>0</v>
      </c>
      <c r="R217" t="s">
        <v>51</v>
      </c>
      <c r="S217">
        <v>0</v>
      </c>
      <c r="T217">
        <v>0</v>
      </c>
      <c r="U217">
        <v>1</v>
      </c>
      <c r="V217" t="s">
        <v>52</v>
      </c>
      <c r="W217">
        <v>1</v>
      </c>
      <c r="X217">
        <v>1</v>
      </c>
      <c r="Y217" t="s">
        <v>53</v>
      </c>
      <c r="Z217">
        <v>0</v>
      </c>
      <c r="AA217">
        <v>1</v>
      </c>
      <c r="AB217" t="s">
        <v>54</v>
      </c>
      <c r="AC217" t="s">
        <v>98</v>
      </c>
      <c r="AD217" t="s">
        <v>98</v>
      </c>
      <c r="AE217">
        <v>1</v>
      </c>
      <c r="AF217">
        <v>1</v>
      </c>
    </row>
    <row r="218" spans="1:32" x14ac:dyDescent="0.2">
      <c r="A218" t="s">
        <v>92</v>
      </c>
      <c r="B218" t="s">
        <v>167</v>
      </c>
      <c r="C218" t="s">
        <v>168</v>
      </c>
      <c r="D218" t="s">
        <v>95</v>
      </c>
      <c r="E218" t="s">
        <v>96</v>
      </c>
      <c r="F218" t="s">
        <v>287</v>
      </c>
      <c r="G218">
        <v>37</v>
      </c>
      <c r="H218" t="s">
        <v>56</v>
      </c>
      <c r="I218" t="s">
        <v>64</v>
      </c>
      <c r="J218" t="s">
        <v>50</v>
      </c>
      <c r="K218">
        <v>0</v>
      </c>
      <c r="L218">
        <v>0</v>
      </c>
      <c r="M218">
        <v>1</v>
      </c>
      <c r="N218" t="s">
        <v>65</v>
      </c>
      <c r="O218">
        <v>0</v>
      </c>
      <c r="P218">
        <v>1</v>
      </c>
      <c r="Q218">
        <v>1</v>
      </c>
      <c r="R218" t="s">
        <v>51</v>
      </c>
      <c r="S218">
        <v>0</v>
      </c>
      <c r="T218">
        <v>0</v>
      </c>
      <c r="U218">
        <v>1</v>
      </c>
      <c r="V218" t="s">
        <v>52</v>
      </c>
      <c r="W218">
        <v>1</v>
      </c>
      <c r="X218">
        <v>1</v>
      </c>
      <c r="Y218" t="s">
        <v>52</v>
      </c>
      <c r="Z218">
        <v>1</v>
      </c>
      <c r="AA218">
        <v>1</v>
      </c>
      <c r="AB218" t="s">
        <v>54</v>
      </c>
      <c r="AC218" t="s">
        <v>98</v>
      </c>
      <c r="AD218" t="s">
        <v>98</v>
      </c>
      <c r="AE218">
        <v>1</v>
      </c>
      <c r="AF218">
        <v>1</v>
      </c>
    </row>
    <row r="219" spans="1:32" x14ac:dyDescent="0.2">
      <c r="A219" t="s">
        <v>92</v>
      </c>
      <c r="B219" t="s">
        <v>167</v>
      </c>
      <c r="C219" t="s">
        <v>168</v>
      </c>
      <c r="D219" t="s">
        <v>95</v>
      </c>
      <c r="E219" t="s">
        <v>96</v>
      </c>
      <c r="F219" t="s">
        <v>288</v>
      </c>
      <c r="G219">
        <v>50</v>
      </c>
      <c r="H219" t="s">
        <v>48</v>
      </c>
      <c r="I219" t="s">
        <v>70</v>
      </c>
      <c r="J219" t="s">
        <v>144</v>
      </c>
      <c r="K219">
        <v>0</v>
      </c>
      <c r="L219">
        <v>1</v>
      </c>
      <c r="M219">
        <v>1</v>
      </c>
      <c r="N219" t="s">
        <v>73</v>
      </c>
      <c r="O219">
        <v>1</v>
      </c>
      <c r="P219">
        <v>0</v>
      </c>
      <c r="Q219">
        <v>1</v>
      </c>
      <c r="R219" t="s">
        <v>60</v>
      </c>
      <c r="S219">
        <v>0</v>
      </c>
      <c r="T219">
        <v>1</v>
      </c>
      <c r="U219">
        <v>1</v>
      </c>
      <c r="V219" t="s">
        <v>52</v>
      </c>
      <c r="W219">
        <v>1</v>
      </c>
      <c r="X219">
        <v>1</v>
      </c>
      <c r="Y219" t="s">
        <v>53</v>
      </c>
      <c r="Z219">
        <v>0</v>
      </c>
      <c r="AA219">
        <v>1</v>
      </c>
      <c r="AB219" t="s">
        <v>54</v>
      </c>
      <c r="AC219" t="s">
        <v>98</v>
      </c>
      <c r="AD219" t="s">
        <v>98</v>
      </c>
      <c r="AE219">
        <v>1</v>
      </c>
      <c r="AF219">
        <v>1</v>
      </c>
    </row>
    <row r="220" spans="1:32" x14ac:dyDescent="0.2">
      <c r="A220" t="s">
        <v>92</v>
      </c>
      <c r="B220" t="s">
        <v>167</v>
      </c>
      <c r="C220" t="s">
        <v>168</v>
      </c>
      <c r="D220" t="s">
        <v>112</v>
      </c>
      <c r="I220" t="s">
        <v>85</v>
      </c>
      <c r="K220">
        <v>0</v>
      </c>
      <c r="L220">
        <v>0</v>
      </c>
      <c r="M220">
        <v>0</v>
      </c>
      <c r="O220">
        <v>0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  <c r="X220">
        <v>0</v>
      </c>
      <c r="Y220" t="s">
        <v>91</v>
      </c>
      <c r="Z220">
        <v>0</v>
      </c>
      <c r="AA220">
        <v>0</v>
      </c>
      <c r="AB220" t="s">
        <v>91</v>
      </c>
      <c r="AE220">
        <v>0</v>
      </c>
      <c r="AF220">
        <v>0</v>
      </c>
    </row>
    <row r="221" spans="1:32" x14ac:dyDescent="0.2">
      <c r="A221" t="s">
        <v>92</v>
      </c>
      <c r="B221" t="s">
        <v>167</v>
      </c>
      <c r="C221" t="s">
        <v>168</v>
      </c>
      <c r="D221" t="s">
        <v>112</v>
      </c>
      <c r="E221" t="s">
        <v>289</v>
      </c>
      <c r="I221" t="s">
        <v>85</v>
      </c>
      <c r="K221">
        <v>0</v>
      </c>
      <c r="L221">
        <v>0</v>
      </c>
      <c r="M221">
        <v>0</v>
      </c>
      <c r="O221">
        <v>0</v>
      </c>
      <c r="P221">
        <v>0</v>
      </c>
      <c r="Q221">
        <v>0</v>
      </c>
      <c r="S221">
        <v>0</v>
      </c>
      <c r="T221">
        <v>0</v>
      </c>
      <c r="U221">
        <v>0</v>
      </c>
      <c r="W221">
        <v>0</v>
      </c>
      <c r="X221">
        <v>0</v>
      </c>
      <c r="Y221" t="s">
        <v>91</v>
      </c>
      <c r="Z221">
        <v>0</v>
      </c>
      <c r="AA221">
        <v>0</v>
      </c>
      <c r="AB221" t="s">
        <v>91</v>
      </c>
      <c r="AE221">
        <v>0</v>
      </c>
      <c r="AF221">
        <v>0</v>
      </c>
    </row>
    <row r="222" spans="1:32" x14ac:dyDescent="0.2">
      <c r="A222" t="s">
        <v>92</v>
      </c>
      <c r="B222" t="s">
        <v>167</v>
      </c>
      <c r="C222" t="s">
        <v>168</v>
      </c>
      <c r="D222" t="s">
        <v>112</v>
      </c>
      <c r="E222" t="s">
        <v>290</v>
      </c>
      <c r="I222" t="s">
        <v>85</v>
      </c>
      <c r="K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S222">
        <v>0</v>
      </c>
      <c r="T222">
        <v>0</v>
      </c>
      <c r="U222">
        <v>0</v>
      </c>
      <c r="W222">
        <v>0</v>
      </c>
      <c r="X222">
        <v>0</v>
      </c>
      <c r="Y222" t="s">
        <v>91</v>
      </c>
      <c r="Z222">
        <v>0</v>
      </c>
      <c r="AA222">
        <v>0</v>
      </c>
      <c r="AB222" t="s">
        <v>91</v>
      </c>
      <c r="AE222">
        <v>0</v>
      </c>
      <c r="AF222">
        <v>0</v>
      </c>
    </row>
    <row r="223" spans="1:32" x14ac:dyDescent="0.2">
      <c r="A223" t="s">
        <v>92</v>
      </c>
      <c r="B223" t="s">
        <v>167</v>
      </c>
      <c r="C223" t="s">
        <v>168</v>
      </c>
      <c r="D223" t="s">
        <v>112</v>
      </c>
      <c r="I223" t="s">
        <v>85</v>
      </c>
      <c r="K223">
        <v>0</v>
      </c>
      <c r="L223">
        <v>0</v>
      </c>
      <c r="M223">
        <v>0</v>
      </c>
      <c r="O223">
        <v>0</v>
      </c>
      <c r="P223">
        <v>0</v>
      </c>
      <c r="Q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Y223" t="s">
        <v>91</v>
      </c>
      <c r="Z223">
        <v>0</v>
      </c>
      <c r="AA223">
        <v>0</v>
      </c>
      <c r="AB223" t="s">
        <v>91</v>
      </c>
      <c r="AD223" t="s">
        <v>131</v>
      </c>
      <c r="AE223">
        <v>0</v>
      </c>
      <c r="AF223">
        <v>0</v>
      </c>
    </row>
    <row r="224" spans="1:32" x14ac:dyDescent="0.2">
      <c r="A224" t="s">
        <v>92</v>
      </c>
      <c r="B224" t="s">
        <v>167</v>
      </c>
      <c r="C224" t="s">
        <v>168</v>
      </c>
      <c r="D224" t="s">
        <v>112</v>
      </c>
      <c r="I224" t="s">
        <v>85</v>
      </c>
      <c r="K224">
        <v>0</v>
      </c>
      <c r="L224">
        <v>0</v>
      </c>
      <c r="M224">
        <v>0</v>
      </c>
      <c r="O224">
        <v>0</v>
      </c>
      <c r="P224">
        <v>0</v>
      </c>
      <c r="Q224">
        <v>0</v>
      </c>
      <c r="S224">
        <v>0</v>
      </c>
      <c r="T224">
        <v>0</v>
      </c>
      <c r="U224">
        <v>0</v>
      </c>
      <c r="W224">
        <v>0</v>
      </c>
      <c r="X224">
        <v>0</v>
      </c>
      <c r="Y224" t="s">
        <v>91</v>
      </c>
      <c r="Z224">
        <v>0</v>
      </c>
      <c r="AA224">
        <v>0</v>
      </c>
      <c r="AB224" t="s">
        <v>91</v>
      </c>
      <c r="AE224">
        <v>0</v>
      </c>
      <c r="AF224">
        <v>0</v>
      </c>
    </row>
    <row r="225" spans="1:32" x14ac:dyDescent="0.2">
      <c r="A225" t="s">
        <v>92</v>
      </c>
      <c r="B225" t="s">
        <v>167</v>
      </c>
      <c r="C225" t="s">
        <v>168</v>
      </c>
      <c r="D225" t="s">
        <v>112</v>
      </c>
      <c r="I225" t="s">
        <v>85</v>
      </c>
      <c r="K225">
        <v>0</v>
      </c>
      <c r="L225">
        <v>0</v>
      </c>
      <c r="M225">
        <v>0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0</v>
      </c>
      <c r="W225">
        <v>0</v>
      </c>
      <c r="X225">
        <v>0</v>
      </c>
      <c r="Y225" t="s">
        <v>91</v>
      </c>
      <c r="Z225">
        <v>0</v>
      </c>
      <c r="AA225">
        <v>0</v>
      </c>
      <c r="AB225" t="s">
        <v>91</v>
      </c>
      <c r="AE225">
        <v>0</v>
      </c>
      <c r="AF225">
        <v>0</v>
      </c>
    </row>
    <row r="226" spans="1:32" x14ac:dyDescent="0.2">
      <c r="A226" t="s">
        <v>92</v>
      </c>
      <c r="B226" t="s">
        <v>167</v>
      </c>
      <c r="C226" t="s">
        <v>168</v>
      </c>
      <c r="D226" t="s">
        <v>112</v>
      </c>
      <c r="I226" t="s">
        <v>85</v>
      </c>
      <c r="K226">
        <v>0</v>
      </c>
      <c r="L226">
        <v>0</v>
      </c>
      <c r="M226">
        <v>0</v>
      </c>
      <c r="O226">
        <v>0</v>
      </c>
      <c r="P226">
        <v>0</v>
      </c>
      <c r="Q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Y226" t="s">
        <v>91</v>
      </c>
      <c r="Z226">
        <v>0</v>
      </c>
      <c r="AA226">
        <v>0</v>
      </c>
      <c r="AB226" t="s">
        <v>91</v>
      </c>
      <c r="AE226">
        <v>0</v>
      </c>
      <c r="AF226">
        <v>0</v>
      </c>
    </row>
    <row r="227" spans="1:32" x14ac:dyDescent="0.2">
      <c r="A227" t="s">
        <v>92</v>
      </c>
      <c r="B227" t="s">
        <v>167</v>
      </c>
      <c r="C227" t="s">
        <v>168</v>
      </c>
      <c r="D227" t="s">
        <v>112</v>
      </c>
      <c r="I227" t="s">
        <v>85</v>
      </c>
      <c r="K227">
        <v>0</v>
      </c>
      <c r="L227">
        <v>0</v>
      </c>
      <c r="M227">
        <v>0</v>
      </c>
      <c r="O227">
        <v>0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 t="s">
        <v>91</v>
      </c>
      <c r="Z227">
        <v>0</v>
      </c>
      <c r="AA227">
        <v>0</v>
      </c>
      <c r="AB227" t="s">
        <v>91</v>
      </c>
      <c r="AE227">
        <v>0</v>
      </c>
      <c r="AF227">
        <v>0</v>
      </c>
    </row>
    <row r="228" spans="1:32" x14ac:dyDescent="0.2">
      <c r="A228" t="s">
        <v>92</v>
      </c>
      <c r="B228" t="s">
        <v>291</v>
      </c>
      <c r="C228" t="s">
        <v>292</v>
      </c>
      <c r="D228" t="s">
        <v>95</v>
      </c>
      <c r="E228" t="s">
        <v>96</v>
      </c>
      <c r="F228" t="s">
        <v>293</v>
      </c>
      <c r="G228">
        <v>27</v>
      </c>
      <c r="H228" t="s">
        <v>48</v>
      </c>
      <c r="I228" t="s">
        <v>49</v>
      </c>
      <c r="J228" t="s">
        <v>50</v>
      </c>
      <c r="K228">
        <v>0</v>
      </c>
      <c r="L228">
        <v>0</v>
      </c>
      <c r="M228">
        <v>1</v>
      </c>
      <c r="N228" t="s">
        <v>65</v>
      </c>
      <c r="O228">
        <v>0</v>
      </c>
      <c r="P228">
        <v>1</v>
      </c>
      <c r="Q228">
        <v>1</v>
      </c>
      <c r="R228" t="s">
        <v>62</v>
      </c>
      <c r="S228">
        <v>1</v>
      </c>
      <c r="T228">
        <v>0</v>
      </c>
      <c r="U228">
        <v>1</v>
      </c>
      <c r="V228" t="s">
        <v>53</v>
      </c>
      <c r="W228">
        <v>0</v>
      </c>
      <c r="X228">
        <v>1</v>
      </c>
      <c r="Y228" t="s">
        <v>52</v>
      </c>
      <c r="Z228">
        <v>1</v>
      </c>
      <c r="AA228">
        <v>1</v>
      </c>
      <c r="AB228" t="s">
        <v>54</v>
      </c>
      <c r="AC228" t="s">
        <v>98</v>
      </c>
      <c r="AD228" t="s">
        <v>98</v>
      </c>
      <c r="AE228">
        <v>1</v>
      </c>
      <c r="AF228">
        <v>1</v>
      </c>
    </row>
    <row r="229" spans="1:32" x14ac:dyDescent="0.2">
      <c r="A229" t="s">
        <v>92</v>
      </c>
      <c r="B229" t="s">
        <v>291</v>
      </c>
      <c r="C229" t="s">
        <v>292</v>
      </c>
      <c r="D229" t="s">
        <v>95</v>
      </c>
      <c r="E229" t="s">
        <v>96</v>
      </c>
      <c r="F229" t="s">
        <v>294</v>
      </c>
      <c r="G229">
        <v>39</v>
      </c>
      <c r="H229" t="s">
        <v>48</v>
      </c>
      <c r="I229" t="s">
        <v>64</v>
      </c>
      <c r="J229" t="s">
        <v>50</v>
      </c>
      <c r="K229">
        <v>0</v>
      </c>
      <c r="L229">
        <v>0</v>
      </c>
      <c r="M229">
        <v>1</v>
      </c>
      <c r="O229">
        <v>0</v>
      </c>
      <c r="P229">
        <v>0</v>
      </c>
      <c r="Q229">
        <v>0</v>
      </c>
      <c r="R229" t="s">
        <v>60</v>
      </c>
      <c r="S229">
        <v>0</v>
      </c>
      <c r="T229">
        <v>1</v>
      </c>
      <c r="U229">
        <v>1</v>
      </c>
      <c r="V229" t="s">
        <v>53</v>
      </c>
      <c r="W229">
        <v>0</v>
      </c>
      <c r="X229">
        <v>1</v>
      </c>
      <c r="Y229" t="s">
        <v>52</v>
      </c>
      <c r="Z229">
        <v>1</v>
      </c>
      <c r="AA229">
        <v>1</v>
      </c>
      <c r="AB229" t="s">
        <v>54</v>
      </c>
      <c r="AC229" t="s">
        <v>98</v>
      </c>
      <c r="AD229" t="s">
        <v>98</v>
      </c>
      <c r="AE229">
        <v>1</v>
      </c>
      <c r="AF229">
        <v>1</v>
      </c>
    </row>
    <row r="230" spans="1:32" x14ac:dyDescent="0.2">
      <c r="A230" t="s">
        <v>92</v>
      </c>
      <c r="B230" t="s">
        <v>291</v>
      </c>
      <c r="C230" t="s">
        <v>292</v>
      </c>
      <c r="D230" t="s">
        <v>112</v>
      </c>
      <c r="E230" t="s">
        <v>113</v>
      </c>
      <c r="F230" t="s">
        <v>295</v>
      </c>
      <c r="G230">
        <v>50</v>
      </c>
      <c r="H230" t="s">
        <v>48</v>
      </c>
      <c r="I230" t="s">
        <v>70</v>
      </c>
      <c r="J230" t="s">
        <v>50</v>
      </c>
      <c r="K230">
        <v>0</v>
      </c>
      <c r="L230">
        <v>0</v>
      </c>
      <c r="M230">
        <v>1</v>
      </c>
      <c r="N230" t="s">
        <v>65</v>
      </c>
      <c r="O230">
        <v>0</v>
      </c>
      <c r="P230">
        <v>1</v>
      </c>
      <c r="Q230">
        <v>1</v>
      </c>
      <c r="R230" t="s">
        <v>51</v>
      </c>
      <c r="S230">
        <v>0</v>
      </c>
      <c r="T230">
        <v>0</v>
      </c>
      <c r="U230">
        <v>1</v>
      </c>
      <c r="W230">
        <v>0</v>
      </c>
      <c r="X230">
        <v>0</v>
      </c>
      <c r="Y230" t="s">
        <v>53</v>
      </c>
      <c r="Z230">
        <v>0</v>
      </c>
      <c r="AA230">
        <v>1</v>
      </c>
      <c r="AB230" t="s">
        <v>54</v>
      </c>
      <c r="AC230" t="s">
        <v>98</v>
      </c>
      <c r="AD230" t="s">
        <v>131</v>
      </c>
      <c r="AE230">
        <v>1</v>
      </c>
      <c r="AF230">
        <v>1</v>
      </c>
    </row>
    <row r="231" spans="1:32" x14ac:dyDescent="0.2">
      <c r="A231" t="s">
        <v>92</v>
      </c>
      <c r="B231" t="s">
        <v>291</v>
      </c>
      <c r="C231" t="s">
        <v>292</v>
      </c>
      <c r="D231" t="s">
        <v>95</v>
      </c>
      <c r="E231" t="s">
        <v>96</v>
      </c>
      <c r="F231" t="s">
        <v>296</v>
      </c>
      <c r="G231">
        <v>43</v>
      </c>
      <c r="H231" t="s">
        <v>48</v>
      </c>
      <c r="I231" t="s">
        <v>64</v>
      </c>
      <c r="J231" t="s">
        <v>50</v>
      </c>
      <c r="K231">
        <v>0</v>
      </c>
      <c r="L231">
        <v>0</v>
      </c>
      <c r="M231">
        <v>1</v>
      </c>
      <c r="N231" t="s">
        <v>65</v>
      </c>
      <c r="O231">
        <v>0</v>
      </c>
      <c r="P231">
        <v>1</v>
      </c>
      <c r="Q231">
        <v>1</v>
      </c>
      <c r="R231" t="s">
        <v>62</v>
      </c>
      <c r="S231">
        <v>1</v>
      </c>
      <c r="T231">
        <v>0</v>
      </c>
      <c r="U231">
        <v>1</v>
      </c>
      <c r="V231" t="s">
        <v>53</v>
      </c>
      <c r="W231">
        <v>0</v>
      </c>
      <c r="X231">
        <v>1</v>
      </c>
      <c r="Y231" t="s">
        <v>52</v>
      </c>
      <c r="Z231">
        <v>1</v>
      </c>
      <c r="AA231">
        <v>1</v>
      </c>
      <c r="AB231" t="s">
        <v>54</v>
      </c>
      <c r="AC231" t="s">
        <v>131</v>
      </c>
      <c r="AD231" t="s">
        <v>98</v>
      </c>
      <c r="AE231">
        <v>1</v>
      </c>
      <c r="AF231">
        <v>1</v>
      </c>
    </row>
    <row r="232" spans="1:32" x14ac:dyDescent="0.2">
      <c r="A232" t="s">
        <v>92</v>
      </c>
      <c r="B232" t="s">
        <v>291</v>
      </c>
      <c r="C232" t="s">
        <v>292</v>
      </c>
      <c r="D232" t="s">
        <v>95</v>
      </c>
      <c r="E232" t="s">
        <v>96</v>
      </c>
      <c r="F232" t="s">
        <v>297</v>
      </c>
      <c r="G232">
        <v>33</v>
      </c>
      <c r="H232" t="s">
        <v>48</v>
      </c>
      <c r="I232" t="s">
        <v>49</v>
      </c>
      <c r="J232" t="s">
        <v>50</v>
      </c>
      <c r="K232">
        <v>0</v>
      </c>
      <c r="L232">
        <v>0</v>
      </c>
      <c r="M232">
        <v>1</v>
      </c>
      <c r="N232" t="s">
        <v>65</v>
      </c>
      <c r="O232">
        <v>0</v>
      </c>
      <c r="P232">
        <v>1</v>
      </c>
      <c r="Q232">
        <v>1</v>
      </c>
      <c r="R232" t="s">
        <v>62</v>
      </c>
      <c r="S232">
        <v>1</v>
      </c>
      <c r="T232">
        <v>0</v>
      </c>
      <c r="U232">
        <v>1</v>
      </c>
      <c r="V232" t="s">
        <v>52</v>
      </c>
      <c r="W232">
        <v>1</v>
      </c>
      <c r="X232">
        <v>1</v>
      </c>
      <c r="Y232" t="s">
        <v>52</v>
      </c>
      <c r="Z232">
        <v>1</v>
      </c>
      <c r="AA232">
        <v>1</v>
      </c>
      <c r="AB232" t="s">
        <v>54</v>
      </c>
      <c r="AC232" t="s">
        <v>98</v>
      </c>
      <c r="AD232" t="s">
        <v>98</v>
      </c>
      <c r="AE232">
        <v>1</v>
      </c>
      <c r="AF232">
        <v>1</v>
      </c>
    </row>
    <row r="233" spans="1:32" x14ac:dyDescent="0.2">
      <c r="A233" t="s">
        <v>92</v>
      </c>
      <c r="B233" t="s">
        <v>291</v>
      </c>
      <c r="C233" t="s">
        <v>292</v>
      </c>
      <c r="D233" t="s">
        <v>95</v>
      </c>
      <c r="E233" t="s">
        <v>96</v>
      </c>
      <c r="F233" t="s">
        <v>298</v>
      </c>
      <c r="G233">
        <v>56</v>
      </c>
      <c r="H233" t="s">
        <v>48</v>
      </c>
      <c r="I233" t="s">
        <v>85</v>
      </c>
      <c r="J233" t="s">
        <v>144</v>
      </c>
      <c r="K233">
        <v>0</v>
      </c>
      <c r="L233">
        <v>1</v>
      </c>
      <c r="M233">
        <v>1</v>
      </c>
      <c r="N233" t="s">
        <v>73</v>
      </c>
      <c r="O233">
        <v>1</v>
      </c>
      <c r="P233">
        <v>0</v>
      </c>
      <c r="Q233">
        <v>1</v>
      </c>
      <c r="R233" t="s">
        <v>62</v>
      </c>
      <c r="S233">
        <v>1</v>
      </c>
      <c r="T233">
        <v>0</v>
      </c>
      <c r="U233">
        <v>1</v>
      </c>
      <c r="V233" t="s">
        <v>53</v>
      </c>
      <c r="W233">
        <v>0</v>
      </c>
      <c r="X233">
        <v>1</v>
      </c>
      <c r="Y233" t="s">
        <v>52</v>
      </c>
      <c r="Z233">
        <v>1</v>
      </c>
      <c r="AA233">
        <v>1</v>
      </c>
      <c r="AB233" t="s">
        <v>54</v>
      </c>
      <c r="AC233" t="s">
        <v>131</v>
      </c>
      <c r="AD233" t="s">
        <v>98</v>
      </c>
      <c r="AE233">
        <v>1</v>
      </c>
      <c r="AF233">
        <v>1</v>
      </c>
    </row>
    <row r="234" spans="1:32" x14ac:dyDescent="0.2">
      <c r="A234" t="s">
        <v>92</v>
      </c>
      <c r="B234" t="s">
        <v>291</v>
      </c>
      <c r="C234" t="s">
        <v>292</v>
      </c>
      <c r="D234" t="s">
        <v>95</v>
      </c>
      <c r="E234" t="s">
        <v>96</v>
      </c>
      <c r="F234" t="s">
        <v>299</v>
      </c>
      <c r="G234">
        <v>42</v>
      </c>
      <c r="H234" t="s">
        <v>48</v>
      </c>
      <c r="I234" t="s">
        <v>64</v>
      </c>
      <c r="J234" t="s">
        <v>50</v>
      </c>
      <c r="K234">
        <v>0</v>
      </c>
      <c r="L234">
        <v>0</v>
      </c>
      <c r="M234">
        <v>1</v>
      </c>
      <c r="O234">
        <v>0</v>
      </c>
      <c r="P234">
        <v>0</v>
      </c>
      <c r="Q234">
        <v>0</v>
      </c>
      <c r="R234" t="s">
        <v>60</v>
      </c>
      <c r="S234">
        <v>0</v>
      </c>
      <c r="T234">
        <v>1</v>
      </c>
      <c r="U234">
        <v>1</v>
      </c>
      <c r="V234" t="s">
        <v>53</v>
      </c>
      <c r="W234">
        <v>0</v>
      </c>
      <c r="X234">
        <v>1</v>
      </c>
      <c r="Y234" t="s">
        <v>53</v>
      </c>
      <c r="Z234">
        <v>0</v>
      </c>
      <c r="AA234">
        <v>1</v>
      </c>
      <c r="AB234" t="s">
        <v>54</v>
      </c>
      <c r="AC234" t="s">
        <v>98</v>
      </c>
      <c r="AD234" t="s">
        <v>98</v>
      </c>
      <c r="AE234">
        <v>1</v>
      </c>
      <c r="AF234">
        <v>1</v>
      </c>
    </row>
    <row r="235" spans="1:32" x14ac:dyDescent="0.2">
      <c r="A235" t="s">
        <v>92</v>
      </c>
      <c r="B235" t="s">
        <v>291</v>
      </c>
      <c r="C235" t="s">
        <v>292</v>
      </c>
      <c r="D235" t="s">
        <v>95</v>
      </c>
      <c r="E235" t="s">
        <v>96</v>
      </c>
      <c r="F235" t="s">
        <v>300</v>
      </c>
      <c r="G235">
        <v>45</v>
      </c>
      <c r="H235" t="s">
        <v>48</v>
      </c>
      <c r="I235" t="s">
        <v>64</v>
      </c>
      <c r="J235" t="s">
        <v>59</v>
      </c>
      <c r="K235">
        <v>1</v>
      </c>
      <c r="L235">
        <v>0</v>
      </c>
      <c r="M235">
        <v>1</v>
      </c>
      <c r="N235" t="s">
        <v>73</v>
      </c>
      <c r="O235">
        <v>1</v>
      </c>
      <c r="P235">
        <v>0</v>
      </c>
      <c r="Q235">
        <v>1</v>
      </c>
      <c r="R235" t="s">
        <v>51</v>
      </c>
      <c r="S235">
        <v>0</v>
      </c>
      <c r="T235">
        <v>0</v>
      </c>
      <c r="U235">
        <v>1</v>
      </c>
      <c r="V235" t="s">
        <v>53</v>
      </c>
      <c r="W235">
        <v>0</v>
      </c>
      <c r="X235">
        <v>1</v>
      </c>
      <c r="Y235" t="s">
        <v>52</v>
      </c>
      <c r="Z235">
        <v>1</v>
      </c>
      <c r="AA235">
        <v>1</v>
      </c>
      <c r="AB235" t="s">
        <v>54</v>
      </c>
      <c r="AC235" t="s">
        <v>131</v>
      </c>
      <c r="AD235" t="s">
        <v>98</v>
      </c>
      <c r="AE235">
        <v>1</v>
      </c>
      <c r="AF235">
        <v>1</v>
      </c>
    </row>
    <row r="236" spans="1:32" x14ac:dyDescent="0.2">
      <c r="A236" t="s">
        <v>92</v>
      </c>
      <c r="B236" t="s">
        <v>291</v>
      </c>
      <c r="C236" t="s">
        <v>292</v>
      </c>
      <c r="D236" t="s">
        <v>95</v>
      </c>
      <c r="E236" t="s">
        <v>96</v>
      </c>
      <c r="F236" t="s">
        <v>301</v>
      </c>
      <c r="G236">
        <v>48</v>
      </c>
      <c r="H236" t="s">
        <v>56</v>
      </c>
      <c r="I236" t="s">
        <v>70</v>
      </c>
      <c r="J236" t="s">
        <v>50</v>
      </c>
      <c r="K236">
        <v>0</v>
      </c>
      <c r="L236">
        <v>0</v>
      </c>
      <c r="M236">
        <v>1</v>
      </c>
      <c r="N236" t="s">
        <v>65</v>
      </c>
      <c r="O236">
        <v>0</v>
      </c>
      <c r="P236">
        <v>1</v>
      </c>
      <c r="Q236">
        <v>1</v>
      </c>
      <c r="R236" t="s">
        <v>60</v>
      </c>
      <c r="S236">
        <v>0</v>
      </c>
      <c r="T236">
        <v>1</v>
      </c>
      <c r="U236">
        <v>1</v>
      </c>
      <c r="V236" t="s">
        <v>53</v>
      </c>
      <c r="W236">
        <v>0</v>
      </c>
      <c r="X236">
        <v>1</v>
      </c>
      <c r="Y236" t="s">
        <v>52</v>
      </c>
      <c r="Z236">
        <v>1</v>
      </c>
      <c r="AA236">
        <v>1</v>
      </c>
      <c r="AB236" t="s">
        <v>54</v>
      </c>
      <c r="AC236" t="s">
        <v>98</v>
      </c>
      <c r="AD236" t="s">
        <v>98</v>
      </c>
      <c r="AE236">
        <v>1</v>
      </c>
      <c r="AF236">
        <v>1</v>
      </c>
    </row>
    <row r="237" spans="1:32" x14ac:dyDescent="0.2">
      <c r="A237" t="s">
        <v>92</v>
      </c>
      <c r="B237" t="s">
        <v>291</v>
      </c>
      <c r="C237" t="s">
        <v>292</v>
      </c>
      <c r="D237" t="s">
        <v>95</v>
      </c>
      <c r="E237" t="s">
        <v>96</v>
      </c>
      <c r="F237" t="s">
        <v>302</v>
      </c>
      <c r="G237">
        <v>26</v>
      </c>
      <c r="H237" t="s">
        <v>56</v>
      </c>
      <c r="I237" t="s">
        <v>49</v>
      </c>
      <c r="J237" t="s">
        <v>50</v>
      </c>
      <c r="K237">
        <v>0</v>
      </c>
      <c r="L237">
        <v>0</v>
      </c>
      <c r="M237">
        <v>1</v>
      </c>
      <c r="N237" t="s">
        <v>73</v>
      </c>
      <c r="O237">
        <v>1</v>
      </c>
      <c r="P237">
        <v>0</v>
      </c>
      <c r="Q237">
        <v>1</v>
      </c>
      <c r="R237" t="s">
        <v>62</v>
      </c>
      <c r="S237">
        <v>1</v>
      </c>
      <c r="T237">
        <v>0</v>
      </c>
      <c r="U237">
        <v>1</v>
      </c>
      <c r="V237" t="s">
        <v>53</v>
      </c>
      <c r="W237">
        <v>0</v>
      </c>
      <c r="X237">
        <v>1</v>
      </c>
      <c r="Y237" t="s">
        <v>52</v>
      </c>
      <c r="Z237">
        <v>1</v>
      </c>
      <c r="AA237">
        <v>1</v>
      </c>
      <c r="AB237" t="s">
        <v>54</v>
      </c>
      <c r="AC237" t="s">
        <v>131</v>
      </c>
      <c r="AD237" t="s">
        <v>98</v>
      </c>
      <c r="AE237">
        <v>1</v>
      </c>
      <c r="AF237">
        <v>1</v>
      </c>
    </row>
    <row r="238" spans="1:32" x14ac:dyDescent="0.2">
      <c r="A238" t="s">
        <v>92</v>
      </c>
      <c r="B238" t="s">
        <v>291</v>
      </c>
      <c r="C238" t="s">
        <v>292</v>
      </c>
      <c r="D238" t="s">
        <v>112</v>
      </c>
      <c r="E238" t="s">
        <v>113</v>
      </c>
      <c r="F238" t="s">
        <v>303</v>
      </c>
      <c r="G238">
        <v>49</v>
      </c>
      <c r="H238" t="s">
        <v>56</v>
      </c>
      <c r="I238" t="s">
        <v>70</v>
      </c>
      <c r="J238" t="s">
        <v>50</v>
      </c>
      <c r="K238">
        <v>0</v>
      </c>
      <c r="L238">
        <v>0</v>
      </c>
      <c r="M238">
        <v>1</v>
      </c>
      <c r="N238" t="s">
        <v>65</v>
      </c>
      <c r="O238">
        <v>0</v>
      </c>
      <c r="P238">
        <v>1</v>
      </c>
      <c r="Q238">
        <v>1</v>
      </c>
      <c r="R238" t="s">
        <v>60</v>
      </c>
      <c r="S238">
        <v>0</v>
      </c>
      <c r="T238">
        <v>1</v>
      </c>
      <c r="U238">
        <v>1</v>
      </c>
      <c r="V238" t="s">
        <v>53</v>
      </c>
      <c r="W238">
        <v>0</v>
      </c>
      <c r="X238">
        <v>1</v>
      </c>
      <c r="Y238" t="s">
        <v>52</v>
      </c>
      <c r="Z238">
        <v>1</v>
      </c>
      <c r="AA238">
        <v>1</v>
      </c>
      <c r="AB238" t="s">
        <v>54</v>
      </c>
      <c r="AC238" t="s">
        <v>98</v>
      </c>
      <c r="AD238" t="s">
        <v>98</v>
      </c>
      <c r="AE238">
        <v>1</v>
      </c>
      <c r="AF238">
        <v>1</v>
      </c>
    </row>
    <row r="239" spans="1:32" x14ac:dyDescent="0.2">
      <c r="A239" t="s">
        <v>92</v>
      </c>
      <c r="B239" t="s">
        <v>291</v>
      </c>
      <c r="C239" t="s">
        <v>292</v>
      </c>
      <c r="D239" t="s">
        <v>95</v>
      </c>
      <c r="E239" t="s">
        <v>96</v>
      </c>
      <c r="F239" t="s">
        <v>304</v>
      </c>
      <c r="G239">
        <v>37</v>
      </c>
      <c r="H239" t="s">
        <v>48</v>
      </c>
      <c r="I239" t="s">
        <v>64</v>
      </c>
      <c r="J239" t="s">
        <v>50</v>
      </c>
      <c r="K239">
        <v>0</v>
      </c>
      <c r="L239">
        <v>0</v>
      </c>
      <c r="M239">
        <v>1</v>
      </c>
      <c r="O239">
        <v>0</v>
      </c>
      <c r="P239">
        <v>0</v>
      </c>
      <c r="Q239">
        <v>0</v>
      </c>
      <c r="R239" t="s">
        <v>60</v>
      </c>
      <c r="S239">
        <v>0</v>
      </c>
      <c r="T239">
        <v>1</v>
      </c>
      <c r="U239">
        <v>1</v>
      </c>
      <c r="V239" t="s">
        <v>53</v>
      </c>
      <c r="W239">
        <v>0</v>
      </c>
      <c r="X239">
        <v>1</v>
      </c>
      <c r="Y239" t="s">
        <v>53</v>
      </c>
      <c r="Z239">
        <v>0</v>
      </c>
      <c r="AA239">
        <v>1</v>
      </c>
      <c r="AB239" t="s">
        <v>54</v>
      </c>
      <c r="AC239" t="s">
        <v>131</v>
      </c>
      <c r="AD239" t="s">
        <v>98</v>
      </c>
      <c r="AE239">
        <v>1</v>
      </c>
      <c r="AF239">
        <v>1</v>
      </c>
    </row>
    <row r="240" spans="1:32" x14ac:dyDescent="0.2">
      <c r="A240" t="s">
        <v>92</v>
      </c>
      <c r="B240" t="s">
        <v>291</v>
      </c>
      <c r="C240" t="s">
        <v>292</v>
      </c>
      <c r="D240" t="s">
        <v>95</v>
      </c>
      <c r="E240" t="s">
        <v>96</v>
      </c>
      <c r="F240" t="s">
        <v>305</v>
      </c>
      <c r="G240">
        <v>39</v>
      </c>
      <c r="H240" t="s">
        <v>48</v>
      </c>
      <c r="I240" t="s">
        <v>64</v>
      </c>
      <c r="J240" t="s">
        <v>50</v>
      </c>
      <c r="K240">
        <v>0</v>
      </c>
      <c r="L240">
        <v>0</v>
      </c>
      <c r="M240">
        <v>1</v>
      </c>
      <c r="N240" t="s">
        <v>65</v>
      </c>
      <c r="O240">
        <v>0</v>
      </c>
      <c r="P240">
        <v>1</v>
      </c>
      <c r="Q240">
        <v>1</v>
      </c>
      <c r="R240" t="s">
        <v>62</v>
      </c>
      <c r="S240">
        <v>1</v>
      </c>
      <c r="T240">
        <v>0</v>
      </c>
      <c r="U240">
        <v>1</v>
      </c>
      <c r="V240" t="s">
        <v>53</v>
      </c>
      <c r="W240">
        <v>0</v>
      </c>
      <c r="X240">
        <v>1</v>
      </c>
      <c r="Y240" t="s">
        <v>52</v>
      </c>
      <c r="Z240">
        <v>1</v>
      </c>
      <c r="AA240">
        <v>1</v>
      </c>
      <c r="AB240" t="s">
        <v>54</v>
      </c>
      <c r="AC240" t="s">
        <v>131</v>
      </c>
      <c r="AD240" t="s">
        <v>98</v>
      </c>
      <c r="AE240">
        <v>1</v>
      </c>
      <c r="AF240">
        <v>1</v>
      </c>
    </row>
    <row r="241" spans="1:32" x14ac:dyDescent="0.2">
      <c r="A241" t="s">
        <v>92</v>
      </c>
      <c r="B241" t="s">
        <v>291</v>
      </c>
      <c r="C241" t="s">
        <v>292</v>
      </c>
      <c r="D241" t="s">
        <v>95</v>
      </c>
      <c r="E241" t="s">
        <v>96</v>
      </c>
      <c r="F241" t="s">
        <v>306</v>
      </c>
      <c r="G241">
        <v>54</v>
      </c>
      <c r="H241" t="s">
        <v>48</v>
      </c>
      <c r="I241" t="s">
        <v>70</v>
      </c>
      <c r="J241" t="s">
        <v>144</v>
      </c>
      <c r="K241">
        <v>0</v>
      </c>
      <c r="L241">
        <v>1</v>
      </c>
      <c r="M241">
        <v>1</v>
      </c>
      <c r="N241" t="s">
        <v>65</v>
      </c>
      <c r="O241">
        <v>0</v>
      </c>
      <c r="P241">
        <v>1</v>
      </c>
      <c r="Q241">
        <v>1</v>
      </c>
      <c r="R241" t="s">
        <v>60</v>
      </c>
      <c r="S241">
        <v>0</v>
      </c>
      <c r="T241">
        <v>1</v>
      </c>
      <c r="U241">
        <v>1</v>
      </c>
      <c r="V241" t="s">
        <v>53</v>
      </c>
      <c r="W241">
        <v>0</v>
      </c>
      <c r="X241">
        <v>1</v>
      </c>
      <c r="Y241" t="s">
        <v>53</v>
      </c>
      <c r="Z241">
        <v>0</v>
      </c>
      <c r="AA241">
        <v>1</v>
      </c>
      <c r="AB241" t="s">
        <v>54</v>
      </c>
      <c r="AC241" t="s">
        <v>98</v>
      </c>
      <c r="AD241" t="s">
        <v>98</v>
      </c>
      <c r="AE241">
        <v>1</v>
      </c>
      <c r="AF241">
        <v>1</v>
      </c>
    </row>
    <row r="242" spans="1:32" x14ac:dyDescent="0.2">
      <c r="A242" t="s">
        <v>92</v>
      </c>
      <c r="B242" t="s">
        <v>291</v>
      </c>
      <c r="C242" t="s">
        <v>292</v>
      </c>
      <c r="D242" t="s">
        <v>95</v>
      </c>
      <c r="E242" t="s">
        <v>96</v>
      </c>
      <c r="F242" t="s">
        <v>307</v>
      </c>
      <c r="G242">
        <v>38</v>
      </c>
      <c r="H242" t="s">
        <v>48</v>
      </c>
      <c r="I242" t="s">
        <v>64</v>
      </c>
      <c r="J242" t="s">
        <v>59</v>
      </c>
      <c r="K242">
        <v>1</v>
      </c>
      <c r="L242">
        <v>0</v>
      </c>
      <c r="M242">
        <v>1</v>
      </c>
      <c r="N242" t="s">
        <v>65</v>
      </c>
      <c r="O242">
        <v>0</v>
      </c>
      <c r="P242">
        <v>1</v>
      </c>
      <c r="Q242">
        <v>1</v>
      </c>
      <c r="R242" t="s">
        <v>60</v>
      </c>
      <c r="S242">
        <v>0</v>
      </c>
      <c r="T242">
        <v>1</v>
      </c>
      <c r="U242">
        <v>1</v>
      </c>
      <c r="V242" t="s">
        <v>53</v>
      </c>
      <c r="W242">
        <v>0</v>
      </c>
      <c r="X242">
        <v>1</v>
      </c>
      <c r="Y242" t="s">
        <v>53</v>
      </c>
      <c r="Z242">
        <v>0</v>
      </c>
      <c r="AA242">
        <v>1</v>
      </c>
      <c r="AB242" t="s">
        <v>54</v>
      </c>
      <c r="AC242" t="s">
        <v>131</v>
      </c>
      <c r="AD242" t="s">
        <v>98</v>
      </c>
      <c r="AE242">
        <v>1</v>
      </c>
      <c r="AF242">
        <v>1</v>
      </c>
    </row>
    <row r="243" spans="1:32" x14ac:dyDescent="0.2">
      <c r="A243" t="s">
        <v>92</v>
      </c>
      <c r="B243" t="s">
        <v>291</v>
      </c>
      <c r="C243" t="s">
        <v>292</v>
      </c>
      <c r="D243" t="s">
        <v>112</v>
      </c>
      <c r="E243" t="s">
        <v>113</v>
      </c>
      <c r="F243" t="s">
        <v>308</v>
      </c>
      <c r="G243">
        <v>54</v>
      </c>
      <c r="H243" t="s">
        <v>48</v>
      </c>
      <c r="I243" t="s">
        <v>70</v>
      </c>
      <c r="J243" t="s">
        <v>144</v>
      </c>
      <c r="K243">
        <v>0</v>
      </c>
      <c r="L243">
        <v>1</v>
      </c>
      <c r="M243">
        <v>1</v>
      </c>
      <c r="N243" t="s">
        <v>65</v>
      </c>
      <c r="O243">
        <v>0</v>
      </c>
      <c r="P243">
        <v>1</v>
      </c>
      <c r="Q243">
        <v>1</v>
      </c>
      <c r="R243" t="s">
        <v>60</v>
      </c>
      <c r="S243">
        <v>0</v>
      </c>
      <c r="T243">
        <v>1</v>
      </c>
      <c r="U243">
        <v>1</v>
      </c>
      <c r="V243" t="s">
        <v>53</v>
      </c>
      <c r="W243">
        <v>0</v>
      </c>
      <c r="X243">
        <v>1</v>
      </c>
      <c r="Y243" t="s">
        <v>53</v>
      </c>
      <c r="Z243">
        <v>0</v>
      </c>
      <c r="AA243">
        <v>1</v>
      </c>
      <c r="AB243" t="s">
        <v>54</v>
      </c>
      <c r="AC243" t="s">
        <v>98</v>
      </c>
      <c r="AD243" t="s">
        <v>98</v>
      </c>
      <c r="AE243">
        <v>1</v>
      </c>
      <c r="AF243">
        <v>1</v>
      </c>
    </row>
    <row r="244" spans="1:32" x14ac:dyDescent="0.2">
      <c r="A244" t="s">
        <v>92</v>
      </c>
      <c r="B244" t="s">
        <v>291</v>
      </c>
      <c r="C244" t="s">
        <v>292</v>
      </c>
      <c r="D244" t="s">
        <v>95</v>
      </c>
      <c r="E244" t="s">
        <v>96</v>
      </c>
      <c r="F244" t="s">
        <v>309</v>
      </c>
      <c r="G244">
        <v>48</v>
      </c>
      <c r="H244" t="s">
        <v>56</v>
      </c>
      <c r="I244" t="s">
        <v>70</v>
      </c>
      <c r="J244" t="s">
        <v>144</v>
      </c>
      <c r="K244">
        <v>0</v>
      </c>
      <c r="L244">
        <v>1</v>
      </c>
      <c r="M244">
        <v>1</v>
      </c>
      <c r="O244">
        <v>0</v>
      </c>
      <c r="P244">
        <v>0</v>
      </c>
      <c r="Q244">
        <v>0</v>
      </c>
      <c r="R244" t="s">
        <v>62</v>
      </c>
      <c r="S244">
        <v>1</v>
      </c>
      <c r="T244">
        <v>0</v>
      </c>
      <c r="U244">
        <v>1</v>
      </c>
      <c r="V244" t="s">
        <v>53</v>
      </c>
      <c r="W244">
        <v>0</v>
      </c>
      <c r="X244">
        <v>1</v>
      </c>
      <c r="Y244" t="s">
        <v>52</v>
      </c>
      <c r="Z244">
        <v>1</v>
      </c>
      <c r="AA244">
        <v>1</v>
      </c>
      <c r="AB244" t="s">
        <v>54</v>
      </c>
      <c r="AC244" t="s">
        <v>98</v>
      </c>
      <c r="AD244" t="s">
        <v>98</v>
      </c>
      <c r="AE244">
        <v>1</v>
      </c>
      <c r="AF244">
        <v>1</v>
      </c>
    </row>
    <row r="245" spans="1:32" x14ac:dyDescent="0.2">
      <c r="A245" t="s">
        <v>92</v>
      </c>
      <c r="B245" t="s">
        <v>291</v>
      </c>
      <c r="C245" t="s">
        <v>292</v>
      </c>
      <c r="D245" t="s">
        <v>95</v>
      </c>
      <c r="E245" t="s">
        <v>96</v>
      </c>
      <c r="F245" t="s">
        <v>310</v>
      </c>
      <c r="G245">
        <v>40</v>
      </c>
      <c r="H245" t="s">
        <v>48</v>
      </c>
      <c r="I245" t="s">
        <v>64</v>
      </c>
      <c r="J245" t="s">
        <v>144</v>
      </c>
      <c r="K245">
        <v>0</v>
      </c>
      <c r="L245">
        <v>1</v>
      </c>
      <c r="M245">
        <v>1</v>
      </c>
      <c r="N245" t="s">
        <v>65</v>
      </c>
      <c r="O245">
        <v>0</v>
      </c>
      <c r="P245">
        <v>1</v>
      </c>
      <c r="Q245">
        <v>1</v>
      </c>
      <c r="R245" t="s">
        <v>51</v>
      </c>
      <c r="S245">
        <v>0</v>
      </c>
      <c r="T245">
        <v>0</v>
      </c>
      <c r="U245">
        <v>1</v>
      </c>
      <c r="V245" t="s">
        <v>52</v>
      </c>
      <c r="W245">
        <v>1</v>
      </c>
      <c r="X245">
        <v>1</v>
      </c>
      <c r="Y245" t="s">
        <v>52</v>
      </c>
      <c r="Z245">
        <v>1</v>
      </c>
      <c r="AA245">
        <v>1</v>
      </c>
      <c r="AB245" t="s">
        <v>54</v>
      </c>
      <c r="AC245" t="s">
        <v>98</v>
      </c>
      <c r="AD245" t="s">
        <v>98</v>
      </c>
      <c r="AE245">
        <v>1</v>
      </c>
      <c r="AF245">
        <v>1</v>
      </c>
    </row>
    <row r="246" spans="1:32" x14ac:dyDescent="0.2">
      <c r="A246" t="s">
        <v>92</v>
      </c>
      <c r="B246" t="s">
        <v>291</v>
      </c>
      <c r="C246" t="s">
        <v>292</v>
      </c>
      <c r="D246" t="s">
        <v>95</v>
      </c>
      <c r="E246" t="s">
        <v>96</v>
      </c>
      <c r="F246" t="s">
        <v>311</v>
      </c>
      <c r="G246">
        <v>32</v>
      </c>
      <c r="H246" t="s">
        <v>56</v>
      </c>
      <c r="I246" t="s">
        <v>49</v>
      </c>
      <c r="J246" t="s">
        <v>50</v>
      </c>
      <c r="K246">
        <v>0</v>
      </c>
      <c r="L246">
        <v>0</v>
      </c>
      <c r="M246">
        <v>1</v>
      </c>
      <c r="O246">
        <v>0</v>
      </c>
      <c r="P246">
        <v>0</v>
      </c>
      <c r="Q246">
        <v>0</v>
      </c>
      <c r="R246" t="s">
        <v>60</v>
      </c>
      <c r="S246">
        <v>0</v>
      </c>
      <c r="T246">
        <v>1</v>
      </c>
      <c r="U246">
        <v>1</v>
      </c>
      <c r="V246" t="s">
        <v>53</v>
      </c>
      <c r="W246">
        <v>0</v>
      </c>
      <c r="X246">
        <v>1</v>
      </c>
      <c r="Y246" t="s">
        <v>53</v>
      </c>
      <c r="Z246">
        <v>0</v>
      </c>
      <c r="AA246">
        <v>1</v>
      </c>
      <c r="AB246" t="s">
        <v>54</v>
      </c>
      <c r="AC246" t="s">
        <v>98</v>
      </c>
      <c r="AD246" t="s">
        <v>98</v>
      </c>
      <c r="AE246">
        <v>1</v>
      </c>
      <c r="AF246">
        <v>1</v>
      </c>
    </row>
    <row r="247" spans="1:32" x14ac:dyDescent="0.2">
      <c r="A247" t="s">
        <v>92</v>
      </c>
      <c r="B247" t="s">
        <v>291</v>
      </c>
      <c r="C247" t="s">
        <v>292</v>
      </c>
      <c r="D247" t="s">
        <v>95</v>
      </c>
      <c r="E247" t="s">
        <v>96</v>
      </c>
      <c r="F247" t="s">
        <v>312</v>
      </c>
      <c r="G247">
        <v>45</v>
      </c>
      <c r="H247" t="s">
        <v>48</v>
      </c>
      <c r="I247" t="s">
        <v>64</v>
      </c>
      <c r="J247" t="s">
        <v>50</v>
      </c>
      <c r="K247">
        <v>0</v>
      </c>
      <c r="L247">
        <v>0</v>
      </c>
      <c r="M247">
        <v>1</v>
      </c>
      <c r="O247">
        <v>0</v>
      </c>
      <c r="P247">
        <v>0</v>
      </c>
      <c r="Q247">
        <v>0</v>
      </c>
      <c r="R247" t="s">
        <v>62</v>
      </c>
      <c r="S247">
        <v>1</v>
      </c>
      <c r="T247">
        <v>0</v>
      </c>
      <c r="U247">
        <v>1</v>
      </c>
      <c r="V247" t="s">
        <v>53</v>
      </c>
      <c r="W247">
        <v>0</v>
      </c>
      <c r="X247">
        <v>1</v>
      </c>
      <c r="Y247" t="s">
        <v>53</v>
      </c>
      <c r="Z247">
        <v>0</v>
      </c>
      <c r="AA247">
        <v>1</v>
      </c>
      <c r="AB247" t="s">
        <v>54</v>
      </c>
      <c r="AC247" t="s">
        <v>98</v>
      </c>
      <c r="AD247" t="s">
        <v>98</v>
      </c>
      <c r="AE247">
        <v>1</v>
      </c>
      <c r="AF247">
        <v>1</v>
      </c>
    </row>
    <row r="248" spans="1:32" x14ac:dyDescent="0.2">
      <c r="A248" t="s">
        <v>92</v>
      </c>
      <c r="B248" t="s">
        <v>291</v>
      </c>
      <c r="C248" t="s">
        <v>292</v>
      </c>
      <c r="D248" t="s">
        <v>112</v>
      </c>
      <c r="E248" t="s">
        <v>113</v>
      </c>
      <c r="F248" t="s">
        <v>313</v>
      </c>
      <c r="G248">
        <v>41</v>
      </c>
      <c r="H248" t="s">
        <v>48</v>
      </c>
      <c r="I248" t="s">
        <v>64</v>
      </c>
      <c r="J248" t="s">
        <v>50</v>
      </c>
      <c r="K248">
        <v>0</v>
      </c>
      <c r="L248">
        <v>0</v>
      </c>
      <c r="M248">
        <v>1</v>
      </c>
      <c r="N248" t="s">
        <v>65</v>
      </c>
      <c r="O248">
        <v>0</v>
      </c>
      <c r="P248">
        <v>1</v>
      </c>
      <c r="Q248">
        <v>1</v>
      </c>
      <c r="R248" t="s">
        <v>62</v>
      </c>
      <c r="S248">
        <v>1</v>
      </c>
      <c r="T248">
        <v>0</v>
      </c>
      <c r="U248">
        <v>1</v>
      </c>
      <c r="V248" t="s">
        <v>52</v>
      </c>
      <c r="W248">
        <v>1</v>
      </c>
      <c r="X248">
        <v>1</v>
      </c>
      <c r="Y248" t="s">
        <v>53</v>
      </c>
      <c r="Z248">
        <v>0</v>
      </c>
      <c r="AA248">
        <v>1</v>
      </c>
      <c r="AB248" t="s">
        <v>54</v>
      </c>
      <c r="AC248" t="s">
        <v>98</v>
      </c>
      <c r="AD248" t="s">
        <v>98</v>
      </c>
      <c r="AE248">
        <v>1</v>
      </c>
      <c r="AF248">
        <v>1</v>
      </c>
    </row>
    <row r="249" spans="1:32" x14ac:dyDescent="0.2">
      <c r="A249" t="s">
        <v>92</v>
      </c>
      <c r="B249" t="s">
        <v>291</v>
      </c>
      <c r="C249" t="s">
        <v>292</v>
      </c>
      <c r="D249" t="s">
        <v>95</v>
      </c>
      <c r="E249" t="s">
        <v>96</v>
      </c>
      <c r="F249" t="s">
        <v>314</v>
      </c>
      <c r="G249">
        <v>28</v>
      </c>
      <c r="H249" t="s">
        <v>56</v>
      </c>
      <c r="I249" t="s">
        <v>49</v>
      </c>
      <c r="J249" t="s">
        <v>50</v>
      </c>
      <c r="K249">
        <v>0</v>
      </c>
      <c r="L249">
        <v>0</v>
      </c>
      <c r="M249">
        <v>1</v>
      </c>
      <c r="O249">
        <v>0</v>
      </c>
      <c r="P249">
        <v>0</v>
      </c>
      <c r="Q249">
        <v>0</v>
      </c>
      <c r="R249" t="s">
        <v>51</v>
      </c>
      <c r="S249">
        <v>0</v>
      </c>
      <c r="T249">
        <v>0</v>
      </c>
      <c r="U249">
        <v>1</v>
      </c>
      <c r="V249" t="s">
        <v>53</v>
      </c>
      <c r="W249">
        <v>0</v>
      </c>
      <c r="X249">
        <v>1</v>
      </c>
      <c r="Y249" t="s">
        <v>53</v>
      </c>
      <c r="Z249">
        <v>0</v>
      </c>
      <c r="AA249">
        <v>1</v>
      </c>
      <c r="AB249" t="s">
        <v>54</v>
      </c>
      <c r="AC249" t="s">
        <v>98</v>
      </c>
      <c r="AD249" t="s">
        <v>98</v>
      </c>
      <c r="AE249">
        <v>1</v>
      </c>
      <c r="AF249">
        <v>1</v>
      </c>
    </row>
    <row r="250" spans="1:32" x14ac:dyDescent="0.2">
      <c r="A250" t="s">
        <v>92</v>
      </c>
      <c r="B250" t="s">
        <v>291</v>
      </c>
      <c r="C250" t="s">
        <v>292</v>
      </c>
      <c r="D250" t="s">
        <v>95</v>
      </c>
      <c r="E250" t="s">
        <v>96</v>
      </c>
      <c r="F250" t="s">
        <v>315</v>
      </c>
      <c r="G250">
        <v>31</v>
      </c>
      <c r="H250" t="s">
        <v>56</v>
      </c>
      <c r="I250" t="s">
        <v>49</v>
      </c>
      <c r="J250" t="s">
        <v>50</v>
      </c>
      <c r="K250">
        <v>0</v>
      </c>
      <c r="L250">
        <v>0</v>
      </c>
      <c r="M250">
        <v>1</v>
      </c>
      <c r="O250">
        <v>0</v>
      </c>
      <c r="P250">
        <v>0</v>
      </c>
      <c r="Q250">
        <v>0</v>
      </c>
      <c r="R250" t="s">
        <v>51</v>
      </c>
      <c r="S250">
        <v>0</v>
      </c>
      <c r="T250">
        <v>0</v>
      </c>
      <c r="U250">
        <v>1</v>
      </c>
      <c r="V250" t="s">
        <v>52</v>
      </c>
      <c r="W250">
        <v>1</v>
      </c>
      <c r="X250">
        <v>1</v>
      </c>
      <c r="Y250" t="s">
        <v>53</v>
      </c>
      <c r="Z250">
        <v>0</v>
      </c>
      <c r="AA250">
        <v>1</v>
      </c>
      <c r="AB250" t="s">
        <v>54</v>
      </c>
      <c r="AC250" t="s">
        <v>98</v>
      </c>
      <c r="AD250" t="s">
        <v>98</v>
      </c>
      <c r="AE250">
        <v>1</v>
      </c>
      <c r="AF250">
        <v>1</v>
      </c>
    </row>
    <row r="251" spans="1:32" x14ac:dyDescent="0.2">
      <c r="A251" t="s">
        <v>92</v>
      </c>
      <c r="B251" t="s">
        <v>291</v>
      </c>
      <c r="C251" t="s">
        <v>292</v>
      </c>
      <c r="D251" t="s">
        <v>95</v>
      </c>
      <c r="E251" t="s">
        <v>96</v>
      </c>
      <c r="F251" t="s">
        <v>316</v>
      </c>
      <c r="G251">
        <v>39</v>
      </c>
      <c r="H251" t="s">
        <v>56</v>
      </c>
      <c r="I251" t="s">
        <v>64</v>
      </c>
      <c r="J251" t="s">
        <v>50</v>
      </c>
      <c r="K251">
        <v>0</v>
      </c>
      <c r="L251">
        <v>0</v>
      </c>
      <c r="M251">
        <v>1</v>
      </c>
      <c r="O251">
        <v>0</v>
      </c>
      <c r="P251">
        <v>0</v>
      </c>
      <c r="Q251">
        <v>0</v>
      </c>
      <c r="R251" t="s">
        <v>62</v>
      </c>
      <c r="S251">
        <v>1</v>
      </c>
      <c r="T251">
        <v>0</v>
      </c>
      <c r="U251">
        <v>1</v>
      </c>
      <c r="V251" t="s">
        <v>53</v>
      </c>
      <c r="W251">
        <v>0</v>
      </c>
      <c r="X251">
        <v>1</v>
      </c>
      <c r="Y251" t="s">
        <v>53</v>
      </c>
      <c r="Z251">
        <v>0</v>
      </c>
      <c r="AA251">
        <v>1</v>
      </c>
      <c r="AB251" t="s">
        <v>54</v>
      </c>
      <c r="AC251" t="s">
        <v>98</v>
      </c>
      <c r="AD251" t="s">
        <v>98</v>
      </c>
      <c r="AE251">
        <v>1</v>
      </c>
      <c r="AF251">
        <v>1</v>
      </c>
    </row>
    <row r="252" spans="1:32" x14ac:dyDescent="0.2">
      <c r="A252" t="s">
        <v>92</v>
      </c>
      <c r="B252" t="s">
        <v>291</v>
      </c>
      <c r="C252" t="s">
        <v>292</v>
      </c>
      <c r="D252" t="s">
        <v>95</v>
      </c>
      <c r="E252" t="s">
        <v>96</v>
      </c>
      <c r="F252" t="s">
        <v>317</v>
      </c>
      <c r="G252">
        <v>44</v>
      </c>
      <c r="H252" t="s">
        <v>56</v>
      </c>
      <c r="I252" t="s">
        <v>64</v>
      </c>
      <c r="J252" t="s">
        <v>50</v>
      </c>
      <c r="K252">
        <v>0</v>
      </c>
      <c r="L252">
        <v>0</v>
      </c>
      <c r="M252">
        <v>1</v>
      </c>
      <c r="N252" t="s">
        <v>65</v>
      </c>
      <c r="O252">
        <v>0</v>
      </c>
      <c r="P252">
        <v>1</v>
      </c>
      <c r="Q252">
        <v>1</v>
      </c>
      <c r="R252" t="s">
        <v>51</v>
      </c>
      <c r="S252">
        <v>0</v>
      </c>
      <c r="T252">
        <v>0</v>
      </c>
      <c r="U252">
        <v>1</v>
      </c>
      <c r="V252" t="s">
        <v>53</v>
      </c>
      <c r="W252">
        <v>0</v>
      </c>
      <c r="X252">
        <v>1</v>
      </c>
      <c r="Y252" t="s">
        <v>52</v>
      </c>
      <c r="Z252">
        <v>1</v>
      </c>
      <c r="AA252">
        <v>1</v>
      </c>
      <c r="AB252" t="s">
        <v>54</v>
      </c>
      <c r="AC252" t="s">
        <v>98</v>
      </c>
      <c r="AD252" t="s">
        <v>98</v>
      </c>
      <c r="AE252">
        <v>1</v>
      </c>
      <c r="AF252">
        <v>1</v>
      </c>
    </row>
    <row r="253" spans="1:32" x14ac:dyDescent="0.2">
      <c r="A253" t="s">
        <v>92</v>
      </c>
      <c r="B253" t="s">
        <v>291</v>
      </c>
      <c r="C253" t="s">
        <v>292</v>
      </c>
      <c r="D253" t="s">
        <v>95</v>
      </c>
      <c r="E253" t="s">
        <v>96</v>
      </c>
      <c r="F253" t="s">
        <v>318</v>
      </c>
      <c r="G253">
        <v>33</v>
      </c>
      <c r="H253" t="s">
        <v>56</v>
      </c>
      <c r="I253" t="s">
        <v>49</v>
      </c>
      <c r="J253" t="s">
        <v>50</v>
      </c>
      <c r="K253">
        <v>0</v>
      </c>
      <c r="L253">
        <v>0</v>
      </c>
      <c r="M253">
        <v>1</v>
      </c>
      <c r="N253" t="s">
        <v>65</v>
      </c>
      <c r="O253">
        <v>0</v>
      </c>
      <c r="P253">
        <v>1</v>
      </c>
      <c r="Q253">
        <v>1</v>
      </c>
      <c r="R253" t="s">
        <v>51</v>
      </c>
      <c r="S253">
        <v>0</v>
      </c>
      <c r="T253">
        <v>0</v>
      </c>
      <c r="U253">
        <v>1</v>
      </c>
      <c r="V253" t="s">
        <v>53</v>
      </c>
      <c r="W253">
        <v>0</v>
      </c>
      <c r="X253">
        <v>1</v>
      </c>
      <c r="Y253" t="s">
        <v>52</v>
      </c>
      <c r="Z253">
        <v>1</v>
      </c>
      <c r="AA253">
        <v>1</v>
      </c>
      <c r="AB253" t="s">
        <v>54</v>
      </c>
      <c r="AC253" t="s">
        <v>98</v>
      </c>
      <c r="AD253" t="s">
        <v>98</v>
      </c>
      <c r="AE253">
        <v>1</v>
      </c>
      <c r="AF253">
        <v>1</v>
      </c>
    </row>
    <row r="254" spans="1:32" x14ac:dyDescent="0.2">
      <c r="A254" t="s">
        <v>92</v>
      </c>
      <c r="B254" t="s">
        <v>291</v>
      </c>
      <c r="C254" t="s">
        <v>292</v>
      </c>
      <c r="D254" t="s">
        <v>95</v>
      </c>
      <c r="E254" t="s">
        <v>96</v>
      </c>
      <c r="F254" t="s">
        <v>319</v>
      </c>
      <c r="G254">
        <v>60</v>
      </c>
      <c r="H254" t="s">
        <v>56</v>
      </c>
      <c r="I254" t="s">
        <v>85</v>
      </c>
      <c r="J254" t="s">
        <v>50</v>
      </c>
      <c r="K254">
        <v>0</v>
      </c>
      <c r="L254">
        <v>0</v>
      </c>
      <c r="M254">
        <v>1</v>
      </c>
      <c r="N254" t="s">
        <v>65</v>
      </c>
      <c r="O254">
        <v>0</v>
      </c>
      <c r="P254">
        <v>1</v>
      </c>
      <c r="Q254">
        <v>1</v>
      </c>
      <c r="R254" t="s">
        <v>51</v>
      </c>
      <c r="S254">
        <v>0</v>
      </c>
      <c r="T254">
        <v>0</v>
      </c>
      <c r="U254">
        <v>1</v>
      </c>
      <c r="V254" t="s">
        <v>52</v>
      </c>
      <c r="W254">
        <v>1</v>
      </c>
      <c r="X254">
        <v>1</v>
      </c>
      <c r="Y254" t="s">
        <v>53</v>
      </c>
      <c r="Z254">
        <v>0</v>
      </c>
      <c r="AA254">
        <v>1</v>
      </c>
      <c r="AB254" t="s">
        <v>54</v>
      </c>
      <c r="AC254" t="s">
        <v>98</v>
      </c>
      <c r="AD254" t="s">
        <v>98</v>
      </c>
      <c r="AE254">
        <v>1</v>
      </c>
      <c r="AF254">
        <v>1</v>
      </c>
    </row>
    <row r="255" spans="1:32" x14ac:dyDescent="0.2">
      <c r="A255" t="s">
        <v>92</v>
      </c>
      <c r="B255" t="s">
        <v>291</v>
      </c>
      <c r="C255" t="s">
        <v>292</v>
      </c>
      <c r="D255" t="s">
        <v>95</v>
      </c>
      <c r="E255" t="s">
        <v>96</v>
      </c>
      <c r="F255" t="s">
        <v>320</v>
      </c>
      <c r="G255">
        <v>51</v>
      </c>
      <c r="H255" t="s">
        <v>48</v>
      </c>
      <c r="I255" t="s">
        <v>70</v>
      </c>
      <c r="J255" t="s">
        <v>59</v>
      </c>
      <c r="K255">
        <v>1</v>
      </c>
      <c r="L255">
        <v>0</v>
      </c>
      <c r="M255">
        <v>1</v>
      </c>
      <c r="N255" t="s">
        <v>65</v>
      </c>
      <c r="O255">
        <v>0</v>
      </c>
      <c r="P255">
        <v>1</v>
      </c>
      <c r="Q255">
        <v>1</v>
      </c>
      <c r="R255" t="s">
        <v>60</v>
      </c>
      <c r="S255">
        <v>0</v>
      </c>
      <c r="T255">
        <v>1</v>
      </c>
      <c r="U255">
        <v>1</v>
      </c>
      <c r="V255" t="s">
        <v>53</v>
      </c>
      <c r="W255">
        <v>0</v>
      </c>
      <c r="X255">
        <v>1</v>
      </c>
      <c r="Y255" t="s">
        <v>52</v>
      </c>
      <c r="Z255">
        <v>1</v>
      </c>
      <c r="AA255">
        <v>1</v>
      </c>
      <c r="AB255" t="s">
        <v>54</v>
      </c>
      <c r="AC255" t="s">
        <v>131</v>
      </c>
      <c r="AD255" t="s">
        <v>98</v>
      </c>
      <c r="AE255">
        <v>1</v>
      </c>
      <c r="AF255">
        <v>1</v>
      </c>
    </row>
    <row r="256" spans="1:32" x14ac:dyDescent="0.2">
      <c r="A256" t="s">
        <v>92</v>
      </c>
      <c r="B256" t="s">
        <v>291</v>
      </c>
      <c r="C256" t="s">
        <v>292</v>
      </c>
      <c r="D256" t="s">
        <v>95</v>
      </c>
      <c r="E256" t="s">
        <v>96</v>
      </c>
      <c r="F256" t="s">
        <v>321</v>
      </c>
      <c r="G256">
        <v>43</v>
      </c>
      <c r="H256" t="s">
        <v>48</v>
      </c>
      <c r="I256" t="s">
        <v>64</v>
      </c>
      <c r="J256" t="s">
        <v>144</v>
      </c>
      <c r="K256">
        <v>0</v>
      </c>
      <c r="L256">
        <v>1</v>
      </c>
      <c r="M256">
        <v>1</v>
      </c>
      <c r="N256" t="s">
        <v>65</v>
      </c>
      <c r="O256">
        <v>0</v>
      </c>
      <c r="P256">
        <v>1</v>
      </c>
      <c r="Q256">
        <v>1</v>
      </c>
      <c r="R256" t="s">
        <v>60</v>
      </c>
      <c r="S256">
        <v>0</v>
      </c>
      <c r="T256">
        <v>1</v>
      </c>
      <c r="U256">
        <v>1</v>
      </c>
      <c r="V256" t="s">
        <v>53</v>
      </c>
      <c r="W256">
        <v>0</v>
      </c>
      <c r="X256">
        <v>1</v>
      </c>
      <c r="Y256" t="s">
        <v>52</v>
      </c>
      <c r="Z256">
        <v>1</v>
      </c>
      <c r="AA256">
        <v>1</v>
      </c>
      <c r="AB256" t="s">
        <v>54</v>
      </c>
      <c r="AC256" t="s">
        <v>98</v>
      </c>
      <c r="AD256" t="s">
        <v>98</v>
      </c>
      <c r="AE256">
        <v>1</v>
      </c>
      <c r="AF256">
        <v>1</v>
      </c>
    </row>
    <row r="257" spans="1:32" x14ac:dyDescent="0.2">
      <c r="A257" t="s">
        <v>92</v>
      </c>
      <c r="B257" t="s">
        <v>291</v>
      </c>
      <c r="C257" t="s">
        <v>292</v>
      </c>
      <c r="D257" t="s">
        <v>95</v>
      </c>
      <c r="E257" t="s">
        <v>96</v>
      </c>
      <c r="F257" t="s">
        <v>322</v>
      </c>
      <c r="G257">
        <v>42</v>
      </c>
      <c r="H257" t="s">
        <v>48</v>
      </c>
      <c r="I257" t="s">
        <v>64</v>
      </c>
      <c r="J257" t="s">
        <v>50</v>
      </c>
      <c r="K257">
        <v>0</v>
      </c>
      <c r="L257">
        <v>0</v>
      </c>
      <c r="M257">
        <v>1</v>
      </c>
      <c r="O257">
        <v>0</v>
      </c>
      <c r="P257">
        <v>0</v>
      </c>
      <c r="Q257">
        <v>0</v>
      </c>
      <c r="R257" t="s">
        <v>60</v>
      </c>
      <c r="S257">
        <v>0</v>
      </c>
      <c r="T257">
        <v>1</v>
      </c>
      <c r="U257">
        <v>1</v>
      </c>
      <c r="V257" t="s">
        <v>53</v>
      </c>
      <c r="W257">
        <v>0</v>
      </c>
      <c r="X257">
        <v>1</v>
      </c>
      <c r="Y257" t="s">
        <v>52</v>
      </c>
      <c r="Z257">
        <v>1</v>
      </c>
      <c r="AA257">
        <v>1</v>
      </c>
      <c r="AB257" t="s">
        <v>54</v>
      </c>
      <c r="AC257" t="s">
        <v>131</v>
      </c>
      <c r="AD257" t="s">
        <v>98</v>
      </c>
      <c r="AE257">
        <v>1</v>
      </c>
      <c r="AF257">
        <v>1</v>
      </c>
    </row>
    <row r="258" spans="1:32" x14ac:dyDescent="0.2">
      <c r="A258" t="s">
        <v>92</v>
      </c>
      <c r="B258" t="s">
        <v>291</v>
      </c>
      <c r="C258" t="s">
        <v>292</v>
      </c>
      <c r="D258" t="s">
        <v>95</v>
      </c>
      <c r="E258" t="s">
        <v>96</v>
      </c>
      <c r="F258" t="s">
        <v>323</v>
      </c>
      <c r="G258">
        <v>42</v>
      </c>
      <c r="H258" t="s">
        <v>48</v>
      </c>
      <c r="I258" t="s">
        <v>64</v>
      </c>
      <c r="J258" t="s">
        <v>50</v>
      </c>
      <c r="K258">
        <v>0</v>
      </c>
      <c r="L258">
        <v>0</v>
      </c>
      <c r="M258">
        <v>1</v>
      </c>
      <c r="O258">
        <v>0</v>
      </c>
      <c r="P258">
        <v>0</v>
      </c>
      <c r="Q258">
        <v>0</v>
      </c>
      <c r="R258" t="s">
        <v>51</v>
      </c>
      <c r="S258">
        <v>0</v>
      </c>
      <c r="T258">
        <v>0</v>
      </c>
      <c r="U258">
        <v>1</v>
      </c>
      <c r="V258" t="s">
        <v>53</v>
      </c>
      <c r="W258">
        <v>0</v>
      </c>
      <c r="X258">
        <v>1</v>
      </c>
      <c r="Y258" t="s">
        <v>52</v>
      </c>
      <c r="Z258">
        <v>1</v>
      </c>
      <c r="AA258">
        <v>1</v>
      </c>
      <c r="AB258" t="s">
        <v>54</v>
      </c>
      <c r="AC258" t="s">
        <v>131</v>
      </c>
      <c r="AD258" t="s">
        <v>98</v>
      </c>
      <c r="AE258">
        <v>1</v>
      </c>
      <c r="AF258">
        <v>1</v>
      </c>
    </row>
    <row r="259" spans="1:32" x14ac:dyDescent="0.2">
      <c r="A259" t="s">
        <v>92</v>
      </c>
      <c r="B259" t="s">
        <v>291</v>
      </c>
      <c r="C259" t="s">
        <v>292</v>
      </c>
      <c r="D259" t="s">
        <v>95</v>
      </c>
      <c r="E259" t="s">
        <v>96</v>
      </c>
      <c r="F259" t="s">
        <v>324</v>
      </c>
      <c r="G259">
        <v>41</v>
      </c>
      <c r="H259" t="s">
        <v>48</v>
      </c>
      <c r="I259" t="s">
        <v>64</v>
      </c>
      <c r="J259" t="s">
        <v>144</v>
      </c>
      <c r="K259">
        <v>0</v>
      </c>
      <c r="L259">
        <v>1</v>
      </c>
      <c r="M259">
        <v>1</v>
      </c>
      <c r="N259" t="s">
        <v>65</v>
      </c>
      <c r="O259">
        <v>0</v>
      </c>
      <c r="P259">
        <v>1</v>
      </c>
      <c r="Q259">
        <v>1</v>
      </c>
      <c r="R259" t="s">
        <v>60</v>
      </c>
      <c r="S259">
        <v>0</v>
      </c>
      <c r="T259">
        <v>1</v>
      </c>
      <c r="U259">
        <v>1</v>
      </c>
      <c r="V259" t="s">
        <v>53</v>
      </c>
      <c r="W259">
        <v>0</v>
      </c>
      <c r="X259">
        <v>1</v>
      </c>
      <c r="Y259" t="s">
        <v>52</v>
      </c>
      <c r="Z259">
        <v>1</v>
      </c>
      <c r="AA259">
        <v>1</v>
      </c>
      <c r="AB259" t="s">
        <v>54</v>
      </c>
      <c r="AC259" t="s">
        <v>131</v>
      </c>
      <c r="AD259" t="s">
        <v>98</v>
      </c>
      <c r="AE259">
        <v>1</v>
      </c>
      <c r="AF259">
        <v>1</v>
      </c>
    </row>
    <row r="260" spans="1:32" x14ac:dyDescent="0.2">
      <c r="A260" t="s">
        <v>92</v>
      </c>
      <c r="B260" t="s">
        <v>291</v>
      </c>
      <c r="C260" t="s">
        <v>292</v>
      </c>
      <c r="D260" t="s">
        <v>95</v>
      </c>
      <c r="E260" t="s">
        <v>96</v>
      </c>
      <c r="F260" t="s">
        <v>325</v>
      </c>
      <c r="G260">
        <v>37</v>
      </c>
      <c r="H260" t="s">
        <v>48</v>
      </c>
      <c r="I260" t="s">
        <v>64</v>
      </c>
      <c r="J260" t="s">
        <v>50</v>
      </c>
      <c r="K260">
        <v>0</v>
      </c>
      <c r="L260">
        <v>0</v>
      </c>
      <c r="M260">
        <v>1</v>
      </c>
      <c r="O260">
        <v>0</v>
      </c>
      <c r="P260">
        <v>0</v>
      </c>
      <c r="Q260">
        <v>0</v>
      </c>
      <c r="R260" t="s">
        <v>62</v>
      </c>
      <c r="S260">
        <v>1</v>
      </c>
      <c r="T260">
        <v>0</v>
      </c>
      <c r="U260">
        <v>1</v>
      </c>
      <c r="V260" t="s">
        <v>53</v>
      </c>
      <c r="W260">
        <v>0</v>
      </c>
      <c r="X260">
        <v>1</v>
      </c>
      <c r="Y260" t="s">
        <v>52</v>
      </c>
      <c r="Z260">
        <v>1</v>
      </c>
      <c r="AA260">
        <v>1</v>
      </c>
      <c r="AB260" t="s">
        <v>54</v>
      </c>
      <c r="AC260" t="s">
        <v>131</v>
      </c>
      <c r="AD260" t="s">
        <v>98</v>
      </c>
      <c r="AE260">
        <v>1</v>
      </c>
      <c r="AF260">
        <v>1</v>
      </c>
    </row>
    <row r="261" spans="1:32" x14ac:dyDescent="0.2">
      <c r="A261" t="s">
        <v>92</v>
      </c>
      <c r="B261" t="s">
        <v>291</v>
      </c>
      <c r="C261" t="s">
        <v>292</v>
      </c>
      <c r="D261" t="s">
        <v>95</v>
      </c>
      <c r="E261" t="s">
        <v>96</v>
      </c>
      <c r="F261" t="s">
        <v>326</v>
      </c>
      <c r="G261">
        <v>40</v>
      </c>
      <c r="H261" t="s">
        <v>56</v>
      </c>
      <c r="I261" t="s">
        <v>64</v>
      </c>
      <c r="J261" t="s">
        <v>50</v>
      </c>
      <c r="K261">
        <v>0</v>
      </c>
      <c r="L261">
        <v>0</v>
      </c>
      <c r="M261">
        <v>1</v>
      </c>
      <c r="N261" t="s">
        <v>73</v>
      </c>
      <c r="O261">
        <v>1</v>
      </c>
      <c r="P261">
        <v>0</v>
      </c>
      <c r="Q261">
        <v>1</v>
      </c>
      <c r="R261" t="s">
        <v>51</v>
      </c>
      <c r="S261">
        <v>0</v>
      </c>
      <c r="T261">
        <v>0</v>
      </c>
      <c r="U261">
        <v>1</v>
      </c>
      <c r="V261" t="s">
        <v>53</v>
      </c>
      <c r="W261">
        <v>0</v>
      </c>
      <c r="X261">
        <v>1</v>
      </c>
      <c r="Y261" t="s">
        <v>52</v>
      </c>
      <c r="Z261">
        <v>1</v>
      </c>
      <c r="AA261">
        <v>1</v>
      </c>
      <c r="AB261" t="s">
        <v>54</v>
      </c>
      <c r="AC261" t="s">
        <v>98</v>
      </c>
      <c r="AD261" t="s">
        <v>98</v>
      </c>
      <c r="AE261">
        <v>1</v>
      </c>
      <c r="AF261">
        <v>1</v>
      </c>
    </row>
    <row r="262" spans="1:32" x14ac:dyDescent="0.2">
      <c r="A262" t="s">
        <v>92</v>
      </c>
      <c r="B262" t="s">
        <v>291</v>
      </c>
      <c r="C262" t="s">
        <v>292</v>
      </c>
      <c r="D262" t="s">
        <v>95</v>
      </c>
      <c r="E262" t="s">
        <v>96</v>
      </c>
      <c r="F262" t="s">
        <v>327</v>
      </c>
      <c r="G262">
        <v>37</v>
      </c>
      <c r="H262" t="s">
        <v>56</v>
      </c>
      <c r="I262" t="s">
        <v>64</v>
      </c>
      <c r="J262" t="s">
        <v>144</v>
      </c>
      <c r="K262">
        <v>0</v>
      </c>
      <c r="L262">
        <v>1</v>
      </c>
      <c r="M262">
        <v>1</v>
      </c>
      <c r="N262" t="s">
        <v>65</v>
      </c>
      <c r="O262">
        <v>0</v>
      </c>
      <c r="P262">
        <v>1</v>
      </c>
      <c r="Q262">
        <v>1</v>
      </c>
      <c r="R262" t="s">
        <v>62</v>
      </c>
      <c r="S262">
        <v>1</v>
      </c>
      <c r="T262">
        <v>0</v>
      </c>
      <c r="U262">
        <v>1</v>
      </c>
      <c r="V262" t="s">
        <v>53</v>
      </c>
      <c r="W262">
        <v>0</v>
      </c>
      <c r="X262">
        <v>1</v>
      </c>
      <c r="Y262" t="s">
        <v>53</v>
      </c>
      <c r="Z262">
        <v>0</v>
      </c>
      <c r="AA262">
        <v>1</v>
      </c>
      <c r="AB262" t="s">
        <v>54</v>
      </c>
      <c r="AC262" t="s">
        <v>98</v>
      </c>
      <c r="AD262" t="s">
        <v>98</v>
      </c>
      <c r="AE262">
        <v>1</v>
      </c>
      <c r="AF262">
        <v>1</v>
      </c>
    </row>
    <row r="263" spans="1:32" x14ac:dyDescent="0.2">
      <c r="A263" t="s">
        <v>92</v>
      </c>
      <c r="B263" t="s">
        <v>291</v>
      </c>
      <c r="C263" t="s">
        <v>292</v>
      </c>
      <c r="D263" t="s">
        <v>112</v>
      </c>
      <c r="E263" t="s">
        <v>113</v>
      </c>
      <c r="F263" t="s">
        <v>328</v>
      </c>
      <c r="G263">
        <v>29</v>
      </c>
      <c r="H263" t="s">
        <v>56</v>
      </c>
      <c r="I263" t="s">
        <v>49</v>
      </c>
      <c r="J263" t="s">
        <v>50</v>
      </c>
      <c r="K263">
        <v>0</v>
      </c>
      <c r="L263">
        <v>0</v>
      </c>
      <c r="M263">
        <v>1</v>
      </c>
      <c r="O263">
        <v>0</v>
      </c>
      <c r="P263">
        <v>0</v>
      </c>
      <c r="Q263">
        <v>0</v>
      </c>
      <c r="R263" t="s">
        <v>62</v>
      </c>
      <c r="S263">
        <v>1</v>
      </c>
      <c r="T263">
        <v>0</v>
      </c>
      <c r="U263">
        <v>1</v>
      </c>
      <c r="V263" t="s">
        <v>53</v>
      </c>
      <c r="W263">
        <v>0</v>
      </c>
      <c r="X263">
        <v>1</v>
      </c>
      <c r="Y263" t="s">
        <v>53</v>
      </c>
      <c r="Z263">
        <v>0</v>
      </c>
      <c r="AA263">
        <v>1</v>
      </c>
      <c r="AB263" t="s">
        <v>54</v>
      </c>
      <c r="AC263" t="s">
        <v>98</v>
      </c>
      <c r="AD263" t="s">
        <v>98</v>
      </c>
      <c r="AE263">
        <v>1</v>
      </c>
      <c r="AF263">
        <v>1</v>
      </c>
    </row>
    <row r="264" spans="1:32" x14ac:dyDescent="0.2">
      <c r="A264" t="s">
        <v>92</v>
      </c>
      <c r="B264" t="s">
        <v>291</v>
      </c>
      <c r="C264" t="s">
        <v>292</v>
      </c>
      <c r="D264" t="s">
        <v>95</v>
      </c>
      <c r="E264" t="s">
        <v>96</v>
      </c>
      <c r="F264" t="s">
        <v>329</v>
      </c>
      <c r="G264">
        <v>28</v>
      </c>
      <c r="H264" t="s">
        <v>56</v>
      </c>
      <c r="I264" t="s">
        <v>49</v>
      </c>
      <c r="J264" t="s">
        <v>50</v>
      </c>
      <c r="K264">
        <v>0</v>
      </c>
      <c r="L264">
        <v>0</v>
      </c>
      <c r="M264">
        <v>1</v>
      </c>
      <c r="O264">
        <v>0</v>
      </c>
      <c r="P264">
        <v>0</v>
      </c>
      <c r="Q264">
        <v>0</v>
      </c>
      <c r="R264" t="s">
        <v>51</v>
      </c>
      <c r="S264">
        <v>0</v>
      </c>
      <c r="T264">
        <v>0</v>
      </c>
      <c r="U264">
        <v>1</v>
      </c>
      <c r="V264" t="s">
        <v>52</v>
      </c>
      <c r="W264">
        <v>1</v>
      </c>
      <c r="X264">
        <v>1</v>
      </c>
      <c r="Y264" t="s">
        <v>52</v>
      </c>
      <c r="Z264">
        <v>1</v>
      </c>
      <c r="AA264">
        <v>1</v>
      </c>
      <c r="AB264" t="s">
        <v>54</v>
      </c>
      <c r="AC264" t="s">
        <v>98</v>
      </c>
      <c r="AD264" t="s">
        <v>98</v>
      </c>
      <c r="AE264">
        <v>1</v>
      </c>
      <c r="AF264">
        <v>1</v>
      </c>
    </row>
    <row r="265" spans="1:32" x14ac:dyDescent="0.2">
      <c r="A265" t="s">
        <v>92</v>
      </c>
      <c r="B265" t="s">
        <v>291</v>
      </c>
      <c r="C265" t="s">
        <v>292</v>
      </c>
      <c r="D265" t="s">
        <v>95</v>
      </c>
      <c r="E265" t="s">
        <v>96</v>
      </c>
      <c r="F265" t="s">
        <v>330</v>
      </c>
      <c r="G265">
        <v>36</v>
      </c>
      <c r="H265" t="s">
        <v>48</v>
      </c>
      <c r="I265" t="s">
        <v>64</v>
      </c>
      <c r="J265" t="s">
        <v>50</v>
      </c>
      <c r="K265">
        <v>0</v>
      </c>
      <c r="L265">
        <v>0</v>
      </c>
      <c r="M265">
        <v>1</v>
      </c>
      <c r="N265" t="s">
        <v>65</v>
      </c>
      <c r="O265">
        <v>0</v>
      </c>
      <c r="P265">
        <v>1</v>
      </c>
      <c r="Q265">
        <v>1</v>
      </c>
      <c r="R265" t="s">
        <v>60</v>
      </c>
      <c r="S265">
        <v>0</v>
      </c>
      <c r="T265">
        <v>1</v>
      </c>
      <c r="U265">
        <v>1</v>
      </c>
      <c r="V265" t="s">
        <v>53</v>
      </c>
      <c r="W265">
        <v>0</v>
      </c>
      <c r="X265">
        <v>1</v>
      </c>
      <c r="Y265" t="s">
        <v>52</v>
      </c>
      <c r="Z265">
        <v>1</v>
      </c>
      <c r="AA265">
        <v>1</v>
      </c>
      <c r="AB265" t="s">
        <v>54</v>
      </c>
      <c r="AC265" t="s">
        <v>98</v>
      </c>
      <c r="AD265" t="s">
        <v>98</v>
      </c>
      <c r="AE265">
        <v>1</v>
      </c>
      <c r="AF265">
        <v>1</v>
      </c>
    </row>
    <row r="266" spans="1:32" x14ac:dyDescent="0.2">
      <c r="A266" t="s">
        <v>92</v>
      </c>
      <c r="B266" t="s">
        <v>291</v>
      </c>
      <c r="C266" t="s">
        <v>292</v>
      </c>
      <c r="D266" t="s">
        <v>112</v>
      </c>
      <c r="E266" t="s">
        <v>113</v>
      </c>
      <c r="F266" t="s">
        <v>331</v>
      </c>
      <c r="G266">
        <v>52</v>
      </c>
      <c r="H266" t="s">
        <v>48</v>
      </c>
      <c r="I266" t="s">
        <v>70</v>
      </c>
      <c r="J266" t="s">
        <v>144</v>
      </c>
      <c r="K266">
        <v>0</v>
      </c>
      <c r="L266">
        <v>1</v>
      </c>
      <c r="M266">
        <v>1</v>
      </c>
      <c r="N266" t="s">
        <v>65</v>
      </c>
      <c r="O266">
        <v>0</v>
      </c>
      <c r="P266">
        <v>1</v>
      </c>
      <c r="Q266">
        <v>1</v>
      </c>
      <c r="R266" t="s">
        <v>62</v>
      </c>
      <c r="S266">
        <v>1</v>
      </c>
      <c r="T266">
        <v>0</v>
      </c>
      <c r="U266">
        <v>1</v>
      </c>
      <c r="V266" t="s">
        <v>53</v>
      </c>
      <c r="W266">
        <v>0</v>
      </c>
      <c r="X266">
        <v>1</v>
      </c>
      <c r="Y266" t="s">
        <v>52</v>
      </c>
      <c r="Z266">
        <v>1</v>
      </c>
      <c r="AA266">
        <v>1</v>
      </c>
      <c r="AB266" t="s">
        <v>54</v>
      </c>
      <c r="AC266" t="s">
        <v>98</v>
      </c>
      <c r="AD266" t="s">
        <v>98</v>
      </c>
      <c r="AE266">
        <v>1</v>
      </c>
      <c r="AF266">
        <v>1</v>
      </c>
    </row>
    <row r="267" spans="1:32" x14ac:dyDescent="0.2">
      <c r="A267" t="s">
        <v>92</v>
      </c>
      <c r="B267" t="s">
        <v>291</v>
      </c>
      <c r="C267" t="s">
        <v>292</v>
      </c>
      <c r="D267" t="s">
        <v>112</v>
      </c>
      <c r="E267" t="s">
        <v>113</v>
      </c>
      <c r="F267" t="s">
        <v>332</v>
      </c>
      <c r="G267">
        <v>37</v>
      </c>
      <c r="H267" t="s">
        <v>56</v>
      </c>
      <c r="I267" t="s">
        <v>64</v>
      </c>
      <c r="J267" t="s">
        <v>50</v>
      </c>
      <c r="K267">
        <v>0</v>
      </c>
      <c r="L267">
        <v>0</v>
      </c>
      <c r="M267">
        <v>1</v>
      </c>
      <c r="O267">
        <v>0</v>
      </c>
      <c r="P267">
        <v>0</v>
      </c>
      <c r="Q267">
        <v>0</v>
      </c>
      <c r="R267" t="s">
        <v>62</v>
      </c>
      <c r="S267">
        <v>1</v>
      </c>
      <c r="T267">
        <v>0</v>
      </c>
      <c r="U267">
        <v>1</v>
      </c>
      <c r="V267" t="s">
        <v>53</v>
      </c>
      <c r="W267">
        <v>0</v>
      </c>
      <c r="X267">
        <v>1</v>
      </c>
      <c r="Y267" t="s">
        <v>52</v>
      </c>
      <c r="Z267">
        <v>1</v>
      </c>
      <c r="AA267">
        <v>1</v>
      </c>
      <c r="AB267" t="s">
        <v>54</v>
      </c>
      <c r="AC267" t="s">
        <v>98</v>
      </c>
      <c r="AD267" t="s">
        <v>98</v>
      </c>
      <c r="AE267">
        <v>1</v>
      </c>
      <c r="AF267">
        <v>1</v>
      </c>
    </row>
    <row r="268" spans="1:32" x14ac:dyDescent="0.2">
      <c r="A268" t="s">
        <v>92</v>
      </c>
      <c r="B268" t="s">
        <v>291</v>
      </c>
      <c r="C268" t="s">
        <v>292</v>
      </c>
      <c r="D268" t="s">
        <v>112</v>
      </c>
      <c r="E268" t="s">
        <v>113</v>
      </c>
      <c r="F268" t="s">
        <v>333</v>
      </c>
      <c r="G268">
        <v>35</v>
      </c>
      <c r="H268" t="s">
        <v>56</v>
      </c>
      <c r="I268" t="s">
        <v>49</v>
      </c>
      <c r="J268" t="s">
        <v>50</v>
      </c>
      <c r="K268">
        <v>0</v>
      </c>
      <c r="L268">
        <v>0</v>
      </c>
      <c r="M268">
        <v>1</v>
      </c>
      <c r="N268" t="s">
        <v>65</v>
      </c>
      <c r="O268">
        <v>0</v>
      </c>
      <c r="P268">
        <v>1</v>
      </c>
      <c r="Q268">
        <v>1</v>
      </c>
      <c r="R268" t="s">
        <v>51</v>
      </c>
      <c r="S268">
        <v>0</v>
      </c>
      <c r="T268">
        <v>0</v>
      </c>
      <c r="U268">
        <v>1</v>
      </c>
      <c r="V268" t="s">
        <v>52</v>
      </c>
      <c r="W268">
        <v>1</v>
      </c>
      <c r="X268">
        <v>1</v>
      </c>
      <c r="Y268" t="s">
        <v>53</v>
      </c>
      <c r="Z268">
        <v>0</v>
      </c>
      <c r="AA268">
        <v>1</v>
      </c>
      <c r="AB268" t="s">
        <v>54</v>
      </c>
      <c r="AC268" t="s">
        <v>98</v>
      </c>
      <c r="AD268" t="s">
        <v>98</v>
      </c>
      <c r="AE268">
        <v>1</v>
      </c>
      <c r="AF268">
        <v>1</v>
      </c>
    </row>
    <row r="269" spans="1:32" x14ac:dyDescent="0.2">
      <c r="A269" t="s">
        <v>92</v>
      </c>
      <c r="B269" t="s">
        <v>291</v>
      </c>
      <c r="C269" t="s">
        <v>292</v>
      </c>
      <c r="D269" t="s">
        <v>112</v>
      </c>
      <c r="E269" t="s">
        <v>113</v>
      </c>
      <c r="F269" t="s">
        <v>334</v>
      </c>
      <c r="G269">
        <v>26</v>
      </c>
      <c r="H269" t="s">
        <v>48</v>
      </c>
      <c r="I269" t="s">
        <v>49</v>
      </c>
      <c r="J269" t="s">
        <v>50</v>
      </c>
      <c r="K269">
        <v>0</v>
      </c>
      <c r="L269">
        <v>0</v>
      </c>
      <c r="M269">
        <v>1</v>
      </c>
      <c r="O269">
        <v>0</v>
      </c>
      <c r="P269">
        <v>0</v>
      </c>
      <c r="Q269">
        <v>0</v>
      </c>
      <c r="R269" t="s">
        <v>62</v>
      </c>
      <c r="S269">
        <v>1</v>
      </c>
      <c r="T269">
        <v>0</v>
      </c>
      <c r="U269">
        <v>1</v>
      </c>
      <c r="V269" t="s">
        <v>52</v>
      </c>
      <c r="W269">
        <v>1</v>
      </c>
      <c r="X269">
        <v>1</v>
      </c>
      <c r="Y269" t="s">
        <v>52</v>
      </c>
      <c r="Z269">
        <v>1</v>
      </c>
      <c r="AA269">
        <v>1</v>
      </c>
      <c r="AB269" t="s">
        <v>54</v>
      </c>
      <c r="AC269" t="s">
        <v>98</v>
      </c>
      <c r="AD269" t="s">
        <v>98</v>
      </c>
      <c r="AE269">
        <v>1</v>
      </c>
      <c r="AF269">
        <v>1</v>
      </c>
    </row>
    <row r="270" spans="1:32" x14ac:dyDescent="0.2">
      <c r="A270" t="s">
        <v>92</v>
      </c>
      <c r="B270" t="s">
        <v>291</v>
      </c>
      <c r="C270" t="s">
        <v>292</v>
      </c>
      <c r="D270" t="s">
        <v>95</v>
      </c>
      <c r="E270" t="s">
        <v>96</v>
      </c>
      <c r="F270" t="s">
        <v>335</v>
      </c>
      <c r="G270">
        <v>43</v>
      </c>
      <c r="H270" t="s">
        <v>48</v>
      </c>
      <c r="I270" t="s">
        <v>64</v>
      </c>
      <c r="J270" t="s">
        <v>144</v>
      </c>
      <c r="K270">
        <v>0</v>
      </c>
      <c r="L270">
        <v>1</v>
      </c>
      <c r="M270">
        <v>1</v>
      </c>
      <c r="N270" t="s">
        <v>65</v>
      </c>
      <c r="O270">
        <v>0</v>
      </c>
      <c r="P270">
        <v>1</v>
      </c>
      <c r="Q270">
        <v>1</v>
      </c>
      <c r="R270" t="s">
        <v>60</v>
      </c>
      <c r="S270">
        <v>0</v>
      </c>
      <c r="T270">
        <v>1</v>
      </c>
      <c r="U270">
        <v>1</v>
      </c>
      <c r="V270" t="s">
        <v>53</v>
      </c>
      <c r="W270">
        <v>0</v>
      </c>
      <c r="X270">
        <v>1</v>
      </c>
      <c r="Y270" t="s">
        <v>52</v>
      </c>
      <c r="Z270">
        <v>1</v>
      </c>
      <c r="AA270">
        <v>1</v>
      </c>
      <c r="AB270" t="s">
        <v>54</v>
      </c>
      <c r="AC270" t="s">
        <v>98</v>
      </c>
      <c r="AD270" t="s">
        <v>98</v>
      </c>
      <c r="AE270">
        <v>1</v>
      </c>
      <c r="AF270">
        <v>1</v>
      </c>
    </row>
    <row r="271" spans="1:32" x14ac:dyDescent="0.2">
      <c r="A271" t="s">
        <v>92</v>
      </c>
      <c r="B271" t="s">
        <v>291</v>
      </c>
      <c r="C271" t="s">
        <v>292</v>
      </c>
      <c r="D271" t="s">
        <v>95</v>
      </c>
      <c r="E271" t="s">
        <v>96</v>
      </c>
      <c r="F271" t="s">
        <v>336</v>
      </c>
      <c r="G271">
        <v>30</v>
      </c>
      <c r="H271" t="s">
        <v>56</v>
      </c>
      <c r="I271" t="s">
        <v>49</v>
      </c>
      <c r="J271" t="s">
        <v>144</v>
      </c>
      <c r="K271">
        <v>0</v>
      </c>
      <c r="L271">
        <v>1</v>
      </c>
      <c r="M271">
        <v>1</v>
      </c>
      <c r="O271">
        <v>0</v>
      </c>
      <c r="P271">
        <v>0</v>
      </c>
      <c r="Q271">
        <v>0</v>
      </c>
      <c r="R271" t="s">
        <v>60</v>
      </c>
      <c r="S271">
        <v>0</v>
      </c>
      <c r="T271">
        <v>1</v>
      </c>
      <c r="U271">
        <v>1</v>
      </c>
      <c r="V271" t="s">
        <v>53</v>
      </c>
      <c r="W271">
        <v>0</v>
      </c>
      <c r="X271">
        <v>1</v>
      </c>
      <c r="Y271" t="s">
        <v>53</v>
      </c>
      <c r="Z271">
        <v>0</v>
      </c>
      <c r="AA271">
        <v>1</v>
      </c>
      <c r="AB271" t="s">
        <v>54</v>
      </c>
      <c r="AC271" t="s">
        <v>98</v>
      </c>
      <c r="AD271" t="s">
        <v>98</v>
      </c>
      <c r="AE271">
        <v>1</v>
      </c>
      <c r="AF271">
        <v>1</v>
      </c>
    </row>
    <row r="272" spans="1:32" x14ac:dyDescent="0.2">
      <c r="A272" t="s">
        <v>92</v>
      </c>
      <c r="B272" t="s">
        <v>291</v>
      </c>
      <c r="C272" t="s">
        <v>292</v>
      </c>
      <c r="D272" t="s">
        <v>112</v>
      </c>
      <c r="E272" t="s">
        <v>113</v>
      </c>
      <c r="F272" t="s">
        <v>337</v>
      </c>
      <c r="G272">
        <v>47</v>
      </c>
      <c r="H272" t="s">
        <v>56</v>
      </c>
      <c r="I272" t="s">
        <v>70</v>
      </c>
      <c r="J272" t="s">
        <v>50</v>
      </c>
      <c r="K272">
        <v>0</v>
      </c>
      <c r="L272">
        <v>0</v>
      </c>
      <c r="M272">
        <v>1</v>
      </c>
      <c r="N272" t="s">
        <v>65</v>
      </c>
      <c r="O272">
        <v>0</v>
      </c>
      <c r="P272">
        <v>1</v>
      </c>
      <c r="Q272">
        <v>1</v>
      </c>
      <c r="R272" t="s">
        <v>62</v>
      </c>
      <c r="S272">
        <v>1</v>
      </c>
      <c r="T272">
        <v>0</v>
      </c>
      <c r="U272">
        <v>1</v>
      </c>
      <c r="V272" t="s">
        <v>52</v>
      </c>
      <c r="W272">
        <v>1</v>
      </c>
      <c r="X272">
        <v>1</v>
      </c>
      <c r="Y272" t="s">
        <v>52</v>
      </c>
      <c r="Z272">
        <v>1</v>
      </c>
      <c r="AA272">
        <v>1</v>
      </c>
      <c r="AB272" t="s">
        <v>54</v>
      </c>
      <c r="AC272" t="s">
        <v>98</v>
      </c>
      <c r="AD272" t="s">
        <v>98</v>
      </c>
      <c r="AE272">
        <v>1</v>
      </c>
      <c r="AF272">
        <v>1</v>
      </c>
    </row>
    <row r="273" spans="1:32" x14ac:dyDescent="0.2">
      <c r="A273" t="s">
        <v>92</v>
      </c>
      <c r="B273" t="s">
        <v>291</v>
      </c>
      <c r="C273" t="s">
        <v>292</v>
      </c>
      <c r="D273" t="s">
        <v>95</v>
      </c>
      <c r="E273" t="s">
        <v>96</v>
      </c>
      <c r="F273" t="s">
        <v>338</v>
      </c>
      <c r="G273">
        <v>37</v>
      </c>
      <c r="H273" t="s">
        <v>48</v>
      </c>
      <c r="I273" t="s">
        <v>64</v>
      </c>
      <c r="J273" t="s">
        <v>144</v>
      </c>
      <c r="K273">
        <v>0</v>
      </c>
      <c r="L273">
        <v>1</v>
      </c>
      <c r="M273">
        <v>1</v>
      </c>
      <c r="N273" t="s">
        <v>65</v>
      </c>
      <c r="O273">
        <v>0</v>
      </c>
      <c r="P273">
        <v>1</v>
      </c>
      <c r="Q273">
        <v>1</v>
      </c>
      <c r="R273" t="s">
        <v>62</v>
      </c>
      <c r="S273">
        <v>1</v>
      </c>
      <c r="T273">
        <v>0</v>
      </c>
      <c r="U273">
        <v>1</v>
      </c>
      <c r="W273">
        <v>0</v>
      </c>
      <c r="X273">
        <v>0</v>
      </c>
      <c r="Y273" t="s">
        <v>52</v>
      </c>
      <c r="Z273">
        <v>1</v>
      </c>
      <c r="AA273">
        <v>1</v>
      </c>
      <c r="AB273" t="s">
        <v>54</v>
      </c>
      <c r="AC273" t="s">
        <v>98</v>
      </c>
      <c r="AD273" t="s">
        <v>131</v>
      </c>
      <c r="AE273">
        <v>1</v>
      </c>
      <c r="AF273">
        <v>1</v>
      </c>
    </row>
    <row r="274" spans="1:32" x14ac:dyDescent="0.2">
      <c r="A274" t="s">
        <v>92</v>
      </c>
      <c r="B274" t="s">
        <v>291</v>
      </c>
      <c r="C274" t="s">
        <v>292</v>
      </c>
      <c r="D274" t="s">
        <v>95</v>
      </c>
      <c r="E274" t="s">
        <v>96</v>
      </c>
      <c r="F274" t="s">
        <v>339</v>
      </c>
      <c r="G274">
        <v>37</v>
      </c>
      <c r="H274" t="s">
        <v>56</v>
      </c>
      <c r="I274" t="s">
        <v>64</v>
      </c>
      <c r="J274" t="s">
        <v>50</v>
      </c>
      <c r="K274">
        <v>0</v>
      </c>
      <c r="L274">
        <v>0</v>
      </c>
      <c r="M274">
        <v>1</v>
      </c>
      <c r="O274">
        <v>0</v>
      </c>
      <c r="P274">
        <v>0</v>
      </c>
      <c r="Q274">
        <v>0</v>
      </c>
      <c r="R274" t="s">
        <v>60</v>
      </c>
      <c r="S274">
        <v>0</v>
      </c>
      <c r="T274">
        <v>1</v>
      </c>
      <c r="U274">
        <v>1</v>
      </c>
      <c r="V274" t="s">
        <v>53</v>
      </c>
      <c r="W274">
        <v>0</v>
      </c>
      <c r="X274">
        <v>1</v>
      </c>
      <c r="Y274" t="s">
        <v>52</v>
      </c>
      <c r="Z274">
        <v>1</v>
      </c>
      <c r="AA274">
        <v>1</v>
      </c>
      <c r="AB274" t="s">
        <v>54</v>
      </c>
      <c r="AC274" t="s">
        <v>98</v>
      </c>
      <c r="AD274" t="s">
        <v>98</v>
      </c>
      <c r="AE274">
        <v>1</v>
      </c>
      <c r="AF274">
        <v>1</v>
      </c>
    </row>
    <row r="275" spans="1:32" x14ac:dyDescent="0.2">
      <c r="A275" t="s">
        <v>92</v>
      </c>
      <c r="B275" t="s">
        <v>291</v>
      </c>
      <c r="C275" t="s">
        <v>292</v>
      </c>
      <c r="D275" t="s">
        <v>95</v>
      </c>
      <c r="E275" t="s">
        <v>96</v>
      </c>
      <c r="F275" t="s">
        <v>340</v>
      </c>
      <c r="G275">
        <v>29</v>
      </c>
      <c r="H275" t="s">
        <v>56</v>
      </c>
      <c r="I275" t="s">
        <v>49</v>
      </c>
      <c r="J275" t="s">
        <v>50</v>
      </c>
      <c r="K275">
        <v>0</v>
      </c>
      <c r="L275">
        <v>0</v>
      </c>
      <c r="M275">
        <v>1</v>
      </c>
      <c r="O275">
        <v>0</v>
      </c>
      <c r="P275">
        <v>0</v>
      </c>
      <c r="Q275">
        <v>0</v>
      </c>
      <c r="R275" t="s">
        <v>62</v>
      </c>
      <c r="S275">
        <v>1</v>
      </c>
      <c r="T275">
        <v>0</v>
      </c>
      <c r="U275">
        <v>1</v>
      </c>
      <c r="V275" t="s">
        <v>52</v>
      </c>
      <c r="W275">
        <v>1</v>
      </c>
      <c r="X275">
        <v>1</v>
      </c>
      <c r="Y275" t="s">
        <v>52</v>
      </c>
      <c r="Z275">
        <v>1</v>
      </c>
      <c r="AA275">
        <v>1</v>
      </c>
      <c r="AB275" t="s">
        <v>54</v>
      </c>
      <c r="AC275" t="s">
        <v>98</v>
      </c>
      <c r="AD275" t="s">
        <v>98</v>
      </c>
      <c r="AE275">
        <v>1</v>
      </c>
      <c r="AF275">
        <v>1</v>
      </c>
    </row>
    <row r="276" spans="1:32" x14ac:dyDescent="0.2">
      <c r="A276" t="s">
        <v>92</v>
      </c>
      <c r="B276" t="s">
        <v>291</v>
      </c>
      <c r="C276" t="s">
        <v>292</v>
      </c>
      <c r="D276" t="s">
        <v>95</v>
      </c>
      <c r="E276" t="s">
        <v>96</v>
      </c>
      <c r="F276" t="s">
        <v>341</v>
      </c>
      <c r="G276">
        <v>43</v>
      </c>
      <c r="H276" t="s">
        <v>56</v>
      </c>
      <c r="I276" t="s">
        <v>64</v>
      </c>
      <c r="J276" t="s">
        <v>50</v>
      </c>
      <c r="K276">
        <v>0</v>
      </c>
      <c r="L276">
        <v>0</v>
      </c>
      <c r="M276">
        <v>1</v>
      </c>
      <c r="O276">
        <v>0</v>
      </c>
      <c r="P276">
        <v>0</v>
      </c>
      <c r="Q276">
        <v>0</v>
      </c>
      <c r="R276" t="s">
        <v>62</v>
      </c>
      <c r="S276">
        <v>1</v>
      </c>
      <c r="T276">
        <v>0</v>
      </c>
      <c r="U276">
        <v>1</v>
      </c>
      <c r="V276" t="s">
        <v>53</v>
      </c>
      <c r="W276">
        <v>0</v>
      </c>
      <c r="X276">
        <v>1</v>
      </c>
      <c r="Y276" t="s">
        <v>52</v>
      </c>
      <c r="Z276">
        <v>1</v>
      </c>
      <c r="AA276">
        <v>1</v>
      </c>
      <c r="AB276" t="s">
        <v>54</v>
      </c>
      <c r="AC276" t="s">
        <v>98</v>
      </c>
      <c r="AD276" t="s">
        <v>98</v>
      </c>
      <c r="AE276">
        <v>1</v>
      </c>
      <c r="AF276">
        <v>1</v>
      </c>
    </row>
    <row r="277" spans="1:32" x14ac:dyDescent="0.2">
      <c r="A277" t="s">
        <v>92</v>
      </c>
      <c r="B277" t="s">
        <v>291</v>
      </c>
      <c r="C277" t="s">
        <v>292</v>
      </c>
      <c r="D277" t="s">
        <v>95</v>
      </c>
      <c r="E277" t="s">
        <v>96</v>
      </c>
      <c r="F277" t="s">
        <v>342</v>
      </c>
      <c r="G277">
        <v>28</v>
      </c>
      <c r="H277" t="s">
        <v>48</v>
      </c>
      <c r="I277" t="s">
        <v>49</v>
      </c>
      <c r="J277" t="s">
        <v>50</v>
      </c>
      <c r="K277">
        <v>0</v>
      </c>
      <c r="L277">
        <v>0</v>
      </c>
      <c r="M277">
        <v>1</v>
      </c>
      <c r="O277">
        <v>0</v>
      </c>
      <c r="P277">
        <v>0</v>
      </c>
      <c r="Q277">
        <v>0</v>
      </c>
      <c r="R277" t="s">
        <v>60</v>
      </c>
      <c r="S277">
        <v>0</v>
      </c>
      <c r="T277">
        <v>1</v>
      </c>
      <c r="U277">
        <v>1</v>
      </c>
      <c r="V277" t="s">
        <v>53</v>
      </c>
      <c r="W277">
        <v>0</v>
      </c>
      <c r="X277">
        <v>1</v>
      </c>
      <c r="Y277" t="s">
        <v>52</v>
      </c>
      <c r="Z277">
        <v>1</v>
      </c>
      <c r="AA277">
        <v>1</v>
      </c>
      <c r="AB277" t="s">
        <v>54</v>
      </c>
      <c r="AC277" t="s">
        <v>98</v>
      </c>
      <c r="AD277" t="s">
        <v>98</v>
      </c>
      <c r="AE277">
        <v>1</v>
      </c>
      <c r="AF277">
        <v>1</v>
      </c>
    </row>
    <row r="278" spans="1:32" x14ac:dyDescent="0.2">
      <c r="A278" t="s">
        <v>92</v>
      </c>
      <c r="B278" t="s">
        <v>291</v>
      </c>
      <c r="C278" t="s">
        <v>292</v>
      </c>
      <c r="D278" t="s">
        <v>95</v>
      </c>
      <c r="E278" t="s">
        <v>96</v>
      </c>
      <c r="F278" t="s">
        <v>343</v>
      </c>
      <c r="G278">
        <v>48</v>
      </c>
      <c r="H278" t="s">
        <v>48</v>
      </c>
      <c r="I278" t="s">
        <v>70</v>
      </c>
      <c r="J278" t="s">
        <v>50</v>
      </c>
      <c r="K278">
        <v>0</v>
      </c>
      <c r="L278">
        <v>0</v>
      </c>
      <c r="M278">
        <v>1</v>
      </c>
      <c r="N278" t="s">
        <v>65</v>
      </c>
      <c r="O278">
        <v>0</v>
      </c>
      <c r="P278">
        <v>1</v>
      </c>
      <c r="Q278">
        <v>1</v>
      </c>
      <c r="R278" t="s">
        <v>60</v>
      </c>
      <c r="S278">
        <v>0</v>
      </c>
      <c r="T278">
        <v>1</v>
      </c>
      <c r="U278">
        <v>1</v>
      </c>
      <c r="V278" t="s">
        <v>52</v>
      </c>
      <c r="W278">
        <v>1</v>
      </c>
      <c r="X278">
        <v>1</v>
      </c>
      <c r="Y278" t="s">
        <v>52</v>
      </c>
      <c r="Z278">
        <v>1</v>
      </c>
      <c r="AA278">
        <v>1</v>
      </c>
      <c r="AB278" t="s">
        <v>54</v>
      </c>
      <c r="AC278" t="s">
        <v>98</v>
      </c>
      <c r="AD278" t="s">
        <v>98</v>
      </c>
      <c r="AE278">
        <v>1</v>
      </c>
      <c r="AF278">
        <v>1</v>
      </c>
    </row>
    <row r="279" spans="1:32" x14ac:dyDescent="0.2">
      <c r="A279" t="s">
        <v>92</v>
      </c>
      <c r="B279" t="s">
        <v>291</v>
      </c>
      <c r="C279" t="s">
        <v>292</v>
      </c>
      <c r="D279" t="s">
        <v>112</v>
      </c>
      <c r="E279" t="s">
        <v>113</v>
      </c>
      <c r="F279" t="s">
        <v>344</v>
      </c>
      <c r="G279">
        <v>36</v>
      </c>
      <c r="H279" t="s">
        <v>48</v>
      </c>
      <c r="I279" t="s">
        <v>64</v>
      </c>
      <c r="J279" t="s">
        <v>50</v>
      </c>
      <c r="K279">
        <v>0</v>
      </c>
      <c r="L279">
        <v>0</v>
      </c>
      <c r="M279">
        <v>1</v>
      </c>
      <c r="N279" t="s">
        <v>65</v>
      </c>
      <c r="O279">
        <v>0</v>
      </c>
      <c r="P279">
        <v>1</v>
      </c>
      <c r="Q279">
        <v>1</v>
      </c>
      <c r="R279" t="s">
        <v>62</v>
      </c>
      <c r="S279">
        <v>1</v>
      </c>
      <c r="T279">
        <v>0</v>
      </c>
      <c r="U279">
        <v>1</v>
      </c>
      <c r="V279" t="s">
        <v>52</v>
      </c>
      <c r="W279">
        <v>1</v>
      </c>
      <c r="X279">
        <v>1</v>
      </c>
      <c r="Y279" t="s">
        <v>52</v>
      </c>
      <c r="Z279">
        <v>1</v>
      </c>
      <c r="AA279">
        <v>1</v>
      </c>
      <c r="AB279" t="s">
        <v>54</v>
      </c>
      <c r="AC279" t="s">
        <v>98</v>
      </c>
      <c r="AD279" t="s">
        <v>98</v>
      </c>
      <c r="AE279">
        <v>1</v>
      </c>
      <c r="AF279">
        <v>1</v>
      </c>
    </row>
    <row r="280" spans="1:32" x14ac:dyDescent="0.2">
      <c r="A280" t="s">
        <v>92</v>
      </c>
      <c r="B280" t="s">
        <v>291</v>
      </c>
      <c r="C280" t="s">
        <v>292</v>
      </c>
      <c r="D280" t="s">
        <v>95</v>
      </c>
      <c r="E280" t="s">
        <v>96</v>
      </c>
      <c r="F280" t="s">
        <v>345</v>
      </c>
      <c r="G280">
        <v>36</v>
      </c>
      <c r="H280" t="s">
        <v>56</v>
      </c>
      <c r="I280" t="s">
        <v>64</v>
      </c>
      <c r="J280" t="s">
        <v>50</v>
      </c>
      <c r="K280">
        <v>0</v>
      </c>
      <c r="L280">
        <v>0</v>
      </c>
      <c r="M280">
        <v>1</v>
      </c>
      <c r="O280">
        <v>0</v>
      </c>
      <c r="P280">
        <v>0</v>
      </c>
      <c r="Q280">
        <v>0</v>
      </c>
      <c r="R280" t="s">
        <v>62</v>
      </c>
      <c r="S280">
        <v>1</v>
      </c>
      <c r="T280">
        <v>0</v>
      </c>
      <c r="U280">
        <v>1</v>
      </c>
      <c r="V280" t="s">
        <v>52</v>
      </c>
      <c r="W280">
        <v>1</v>
      </c>
      <c r="X280">
        <v>1</v>
      </c>
      <c r="Y280" t="s">
        <v>52</v>
      </c>
      <c r="Z280">
        <v>1</v>
      </c>
      <c r="AA280">
        <v>1</v>
      </c>
      <c r="AB280" t="s">
        <v>54</v>
      </c>
      <c r="AC280" t="s">
        <v>98</v>
      </c>
      <c r="AD280" t="s">
        <v>98</v>
      </c>
      <c r="AE280">
        <v>1</v>
      </c>
      <c r="AF280">
        <v>1</v>
      </c>
    </row>
    <row r="281" spans="1:32" x14ac:dyDescent="0.2">
      <c r="A281" t="s">
        <v>92</v>
      </c>
      <c r="B281" t="s">
        <v>291</v>
      </c>
      <c r="C281" t="s">
        <v>292</v>
      </c>
      <c r="D281" t="s">
        <v>95</v>
      </c>
      <c r="E281" t="s">
        <v>96</v>
      </c>
      <c r="F281" t="s">
        <v>346</v>
      </c>
      <c r="G281">
        <v>39</v>
      </c>
      <c r="H281" t="s">
        <v>56</v>
      </c>
      <c r="I281" t="s">
        <v>64</v>
      </c>
      <c r="J281" t="s">
        <v>50</v>
      </c>
      <c r="K281">
        <v>0</v>
      </c>
      <c r="L281">
        <v>0</v>
      </c>
      <c r="M281">
        <v>1</v>
      </c>
      <c r="N281" t="s">
        <v>65</v>
      </c>
      <c r="O281">
        <v>0</v>
      </c>
      <c r="P281">
        <v>1</v>
      </c>
      <c r="Q281">
        <v>1</v>
      </c>
      <c r="R281" t="s">
        <v>62</v>
      </c>
      <c r="S281">
        <v>1</v>
      </c>
      <c r="T281">
        <v>0</v>
      </c>
      <c r="U281">
        <v>1</v>
      </c>
      <c r="V281" t="s">
        <v>53</v>
      </c>
      <c r="W281">
        <v>0</v>
      </c>
      <c r="X281">
        <v>1</v>
      </c>
      <c r="Y281" t="s">
        <v>52</v>
      </c>
      <c r="Z281">
        <v>1</v>
      </c>
      <c r="AA281">
        <v>1</v>
      </c>
      <c r="AB281" t="s">
        <v>54</v>
      </c>
      <c r="AC281" t="s">
        <v>98</v>
      </c>
      <c r="AD281" t="s">
        <v>98</v>
      </c>
      <c r="AE281">
        <v>1</v>
      </c>
      <c r="AF281">
        <v>1</v>
      </c>
    </row>
    <row r="282" spans="1:32" x14ac:dyDescent="0.2">
      <c r="A282" t="s">
        <v>92</v>
      </c>
      <c r="B282" t="s">
        <v>291</v>
      </c>
      <c r="C282" t="s">
        <v>292</v>
      </c>
      <c r="D282" t="s">
        <v>112</v>
      </c>
      <c r="E282" t="s">
        <v>113</v>
      </c>
      <c r="F282" t="s">
        <v>347</v>
      </c>
      <c r="G282">
        <v>37</v>
      </c>
      <c r="H282" t="s">
        <v>56</v>
      </c>
      <c r="I282" t="s">
        <v>64</v>
      </c>
      <c r="J282" t="s">
        <v>59</v>
      </c>
      <c r="K282">
        <v>1</v>
      </c>
      <c r="L282">
        <v>0</v>
      </c>
      <c r="M282">
        <v>1</v>
      </c>
      <c r="N282" t="s">
        <v>65</v>
      </c>
      <c r="O282">
        <v>0</v>
      </c>
      <c r="P282">
        <v>1</v>
      </c>
      <c r="Q282">
        <v>1</v>
      </c>
      <c r="R282" t="s">
        <v>60</v>
      </c>
      <c r="S282">
        <v>0</v>
      </c>
      <c r="T282">
        <v>1</v>
      </c>
      <c r="U282">
        <v>1</v>
      </c>
      <c r="V282" t="s">
        <v>53</v>
      </c>
      <c r="W282">
        <v>0</v>
      </c>
      <c r="X282">
        <v>1</v>
      </c>
      <c r="Y282" t="s">
        <v>52</v>
      </c>
      <c r="Z282">
        <v>1</v>
      </c>
      <c r="AA282">
        <v>1</v>
      </c>
      <c r="AB282" t="s">
        <v>54</v>
      </c>
      <c r="AC282" t="s">
        <v>98</v>
      </c>
      <c r="AD282" t="s">
        <v>98</v>
      </c>
      <c r="AE282">
        <v>1</v>
      </c>
      <c r="AF282">
        <v>1</v>
      </c>
    </row>
    <row r="283" spans="1:32" x14ac:dyDescent="0.2">
      <c r="A283" t="s">
        <v>92</v>
      </c>
      <c r="B283" t="s">
        <v>291</v>
      </c>
      <c r="C283" t="s">
        <v>292</v>
      </c>
      <c r="D283" t="s">
        <v>95</v>
      </c>
      <c r="E283" t="s">
        <v>96</v>
      </c>
      <c r="F283" t="s">
        <v>348</v>
      </c>
      <c r="G283">
        <v>39</v>
      </c>
      <c r="H283" t="s">
        <v>48</v>
      </c>
      <c r="I283" t="s">
        <v>64</v>
      </c>
      <c r="J283" t="s">
        <v>50</v>
      </c>
      <c r="K283">
        <v>0</v>
      </c>
      <c r="L283">
        <v>0</v>
      </c>
      <c r="M283">
        <v>1</v>
      </c>
      <c r="O283">
        <v>0</v>
      </c>
      <c r="P283">
        <v>0</v>
      </c>
      <c r="Q283">
        <v>0</v>
      </c>
      <c r="R283" t="s">
        <v>62</v>
      </c>
      <c r="S283">
        <v>1</v>
      </c>
      <c r="T283">
        <v>0</v>
      </c>
      <c r="U283">
        <v>1</v>
      </c>
      <c r="V283" t="s">
        <v>53</v>
      </c>
      <c r="W283">
        <v>0</v>
      </c>
      <c r="X283">
        <v>1</v>
      </c>
      <c r="Y283" t="s">
        <v>52</v>
      </c>
      <c r="Z283">
        <v>1</v>
      </c>
      <c r="AA283">
        <v>1</v>
      </c>
      <c r="AB283" t="s">
        <v>54</v>
      </c>
      <c r="AC283" t="s">
        <v>98</v>
      </c>
      <c r="AD283" t="s">
        <v>98</v>
      </c>
      <c r="AE283">
        <v>1</v>
      </c>
      <c r="AF283">
        <v>1</v>
      </c>
    </row>
    <row r="284" spans="1:32" x14ac:dyDescent="0.2">
      <c r="A284" t="s">
        <v>92</v>
      </c>
      <c r="B284" t="s">
        <v>291</v>
      </c>
      <c r="C284" t="s">
        <v>292</v>
      </c>
      <c r="D284" t="s">
        <v>95</v>
      </c>
      <c r="E284" t="s">
        <v>96</v>
      </c>
      <c r="F284" t="s">
        <v>349</v>
      </c>
      <c r="G284">
        <v>55</v>
      </c>
      <c r="H284" t="s">
        <v>56</v>
      </c>
      <c r="I284" t="s">
        <v>70</v>
      </c>
      <c r="J284" t="s">
        <v>59</v>
      </c>
      <c r="K284">
        <v>1</v>
      </c>
      <c r="L284">
        <v>0</v>
      </c>
      <c r="M284">
        <v>1</v>
      </c>
      <c r="O284">
        <v>0</v>
      </c>
      <c r="P284">
        <v>0</v>
      </c>
      <c r="Q284">
        <v>0</v>
      </c>
      <c r="R284" t="s">
        <v>62</v>
      </c>
      <c r="S284">
        <v>1</v>
      </c>
      <c r="T284">
        <v>0</v>
      </c>
      <c r="U284">
        <v>1</v>
      </c>
      <c r="V284" t="s">
        <v>53</v>
      </c>
      <c r="W284">
        <v>0</v>
      </c>
      <c r="X284">
        <v>1</v>
      </c>
      <c r="Y284" t="s">
        <v>52</v>
      </c>
      <c r="Z284">
        <v>1</v>
      </c>
      <c r="AA284">
        <v>1</v>
      </c>
      <c r="AB284" t="s">
        <v>54</v>
      </c>
      <c r="AC284" t="s">
        <v>98</v>
      </c>
      <c r="AD284" t="s">
        <v>98</v>
      </c>
      <c r="AE284">
        <v>1</v>
      </c>
      <c r="AF284">
        <v>1</v>
      </c>
    </row>
    <row r="285" spans="1:32" x14ac:dyDescent="0.2">
      <c r="A285" t="s">
        <v>92</v>
      </c>
      <c r="B285" t="s">
        <v>291</v>
      </c>
      <c r="C285" t="s">
        <v>292</v>
      </c>
      <c r="D285" t="s">
        <v>112</v>
      </c>
      <c r="E285" t="s">
        <v>113</v>
      </c>
      <c r="F285" t="s">
        <v>350</v>
      </c>
      <c r="G285">
        <v>47</v>
      </c>
      <c r="H285" t="s">
        <v>56</v>
      </c>
      <c r="I285" t="s">
        <v>70</v>
      </c>
      <c r="J285" t="s">
        <v>59</v>
      </c>
      <c r="K285">
        <v>1</v>
      </c>
      <c r="L285">
        <v>0</v>
      </c>
      <c r="M285">
        <v>1</v>
      </c>
      <c r="N285" t="s">
        <v>73</v>
      </c>
      <c r="O285">
        <v>1</v>
      </c>
      <c r="P285">
        <v>0</v>
      </c>
      <c r="Q285">
        <v>1</v>
      </c>
      <c r="R285" t="s">
        <v>60</v>
      </c>
      <c r="S285">
        <v>0</v>
      </c>
      <c r="T285">
        <v>1</v>
      </c>
      <c r="U285">
        <v>1</v>
      </c>
      <c r="V285" t="s">
        <v>53</v>
      </c>
      <c r="W285">
        <v>0</v>
      </c>
      <c r="X285">
        <v>1</v>
      </c>
      <c r="Y285" t="s">
        <v>52</v>
      </c>
      <c r="Z285">
        <v>1</v>
      </c>
      <c r="AA285">
        <v>1</v>
      </c>
      <c r="AB285" t="s">
        <v>54</v>
      </c>
      <c r="AC285" t="s">
        <v>98</v>
      </c>
      <c r="AD285" t="s">
        <v>98</v>
      </c>
      <c r="AE285">
        <v>1</v>
      </c>
      <c r="AF285">
        <v>1</v>
      </c>
    </row>
    <row r="286" spans="1:32" x14ac:dyDescent="0.2">
      <c r="A286" t="s">
        <v>92</v>
      </c>
      <c r="B286" t="s">
        <v>291</v>
      </c>
      <c r="C286" t="s">
        <v>292</v>
      </c>
      <c r="D286" t="s">
        <v>95</v>
      </c>
      <c r="E286" t="s">
        <v>96</v>
      </c>
      <c r="F286" t="s">
        <v>351</v>
      </c>
      <c r="G286">
        <v>36</v>
      </c>
      <c r="H286" t="s">
        <v>48</v>
      </c>
      <c r="I286" t="s">
        <v>64</v>
      </c>
      <c r="J286" t="s">
        <v>50</v>
      </c>
      <c r="K286">
        <v>0</v>
      </c>
      <c r="L286">
        <v>0</v>
      </c>
      <c r="M286">
        <v>1</v>
      </c>
      <c r="O286">
        <v>0</v>
      </c>
      <c r="P286">
        <v>0</v>
      </c>
      <c r="Q286">
        <v>0</v>
      </c>
      <c r="R286" t="s">
        <v>62</v>
      </c>
      <c r="S286">
        <v>1</v>
      </c>
      <c r="T286">
        <v>0</v>
      </c>
      <c r="U286">
        <v>1</v>
      </c>
      <c r="V286" t="s">
        <v>53</v>
      </c>
      <c r="W286">
        <v>0</v>
      </c>
      <c r="X286">
        <v>1</v>
      </c>
      <c r="Y286" t="s">
        <v>52</v>
      </c>
      <c r="Z286">
        <v>1</v>
      </c>
      <c r="AA286">
        <v>1</v>
      </c>
      <c r="AB286" t="s">
        <v>54</v>
      </c>
      <c r="AC286" t="s">
        <v>131</v>
      </c>
      <c r="AD286" t="s">
        <v>98</v>
      </c>
      <c r="AE286">
        <v>1</v>
      </c>
      <c r="AF286">
        <v>1</v>
      </c>
    </row>
    <row r="287" spans="1:32" x14ac:dyDescent="0.2">
      <c r="A287" t="s">
        <v>92</v>
      </c>
      <c r="B287" t="s">
        <v>291</v>
      </c>
      <c r="C287" t="s">
        <v>292</v>
      </c>
      <c r="D287" t="s">
        <v>95</v>
      </c>
      <c r="E287" t="s">
        <v>96</v>
      </c>
      <c r="F287" t="s">
        <v>352</v>
      </c>
      <c r="G287">
        <v>32</v>
      </c>
      <c r="H287" t="s">
        <v>48</v>
      </c>
      <c r="I287" t="s">
        <v>49</v>
      </c>
      <c r="J287" t="s">
        <v>50</v>
      </c>
      <c r="K287">
        <v>0</v>
      </c>
      <c r="L287">
        <v>0</v>
      </c>
      <c r="M287">
        <v>1</v>
      </c>
      <c r="N287" t="s">
        <v>65</v>
      </c>
      <c r="O287">
        <v>0</v>
      </c>
      <c r="P287">
        <v>1</v>
      </c>
      <c r="Q287">
        <v>1</v>
      </c>
      <c r="R287" t="s">
        <v>62</v>
      </c>
      <c r="S287">
        <v>1</v>
      </c>
      <c r="T287">
        <v>0</v>
      </c>
      <c r="U287">
        <v>1</v>
      </c>
      <c r="V287" t="s">
        <v>53</v>
      </c>
      <c r="W287">
        <v>0</v>
      </c>
      <c r="X287">
        <v>1</v>
      </c>
      <c r="Y287" t="s">
        <v>52</v>
      </c>
      <c r="Z287">
        <v>1</v>
      </c>
      <c r="AA287">
        <v>1</v>
      </c>
      <c r="AB287" t="s">
        <v>54</v>
      </c>
      <c r="AC287" t="s">
        <v>98</v>
      </c>
      <c r="AD287" t="s">
        <v>98</v>
      </c>
      <c r="AE287">
        <v>1</v>
      </c>
      <c r="AF287">
        <v>1</v>
      </c>
    </row>
    <row r="288" spans="1:32" x14ac:dyDescent="0.2">
      <c r="A288" t="s">
        <v>92</v>
      </c>
      <c r="B288" t="s">
        <v>291</v>
      </c>
      <c r="C288" t="s">
        <v>292</v>
      </c>
      <c r="D288" t="s">
        <v>95</v>
      </c>
      <c r="E288" t="s">
        <v>96</v>
      </c>
      <c r="F288" t="s">
        <v>353</v>
      </c>
      <c r="G288">
        <v>50</v>
      </c>
      <c r="H288" t="s">
        <v>56</v>
      </c>
      <c r="I288" t="s">
        <v>70</v>
      </c>
      <c r="J288" t="s">
        <v>144</v>
      </c>
      <c r="K288">
        <v>0</v>
      </c>
      <c r="L288">
        <v>1</v>
      </c>
      <c r="M288">
        <v>1</v>
      </c>
      <c r="N288" t="s">
        <v>73</v>
      </c>
      <c r="O288">
        <v>1</v>
      </c>
      <c r="P288">
        <v>0</v>
      </c>
      <c r="Q288">
        <v>1</v>
      </c>
      <c r="R288" t="s">
        <v>60</v>
      </c>
      <c r="S288">
        <v>0</v>
      </c>
      <c r="T288">
        <v>1</v>
      </c>
      <c r="U288">
        <v>1</v>
      </c>
      <c r="V288" t="s">
        <v>53</v>
      </c>
      <c r="W288">
        <v>0</v>
      </c>
      <c r="X288">
        <v>1</v>
      </c>
      <c r="Y288" t="s">
        <v>52</v>
      </c>
      <c r="Z288">
        <v>1</v>
      </c>
      <c r="AA288">
        <v>1</v>
      </c>
      <c r="AB288" t="s">
        <v>54</v>
      </c>
      <c r="AC288" t="s">
        <v>98</v>
      </c>
      <c r="AD288" t="s">
        <v>98</v>
      </c>
      <c r="AE288">
        <v>1</v>
      </c>
      <c r="AF288">
        <v>1</v>
      </c>
    </row>
    <row r="289" spans="1:32" x14ac:dyDescent="0.2">
      <c r="A289" t="s">
        <v>92</v>
      </c>
      <c r="B289" t="s">
        <v>291</v>
      </c>
      <c r="C289" t="s">
        <v>292</v>
      </c>
      <c r="D289" t="s">
        <v>95</v>
      </c>
      <c r="E289" t="s">
        <v>96</v>
      </c>
      <c r="F289" t="s">
        <v>354</v>
      </c>
      <c r="G289">
        <v>42</v>
      </c>
      <c r="H289" t="s">
        <v>56</v>
      </c>
      <c r="I289" t="s">
        <v>64</v>
      </c>
      <c r="J289" t="s">
        <v>50</v>
      </c>
      <c r="K289">
        <v>0</v>
      </c>
      <c r="L289">
        <v>0</v>
      </c>
      <c r="M289">
        <v>1</v>
      </c>
      <c r="O289">
        <v>0</v>
      </c>
      <c r="P289">
        <v>0</v>
      </c>
      <c r="Q289">
        <v>0</v>
      </c>
      <c r="R289" t="s">
        <v>51</v>
      </c>
      <c r="S289">
        <v>0</v>
      </c>
      <c r="T289">
        <v>0</v>
      </c>
      <c r="U289">
        <v>1</v>
      </c>
      <c r="V289" t="s">
        <v>53</v>
      </c>
      <c r="W289">
        <v>0</v>
      </c>
      <c r="X289">
        <v>1</v>
      </c>
      <c r="Y289" t="s">
        <v>53</v>
      </c>
      <c r="Z289">
        <v>0</v>
      </c>
      <c r="AA289">
        <v>1</v>
      </c>
      <c r="AB289" t="s">
        <v>54</v>
      </c>
      <c r="AC289" t="s">
        <v>98</v>
      </c>
      <c r="AD289" t="s">
        <v>98</v>
      </c>
      <c r="AE289">
        <v>1</v>
      </c>
      <c r="AF289">
        <v>1</v>
      </c>
    </row>
    <row r="290" spans="1:32" x14ac:dyDescent="0.2">
      <c r="A290" t="s">
        <v>92</v>
      </c>
      <c r="B290" t="s">
        <v>291</v>
      </c>
      <c r="C290" t="s">
        <v>292</v>
      </c>
      <c r="D290" t="s">
        <v>112</v>
      </c>
      <c r="I290" t="s">
        <v>85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  <c r="S290">
        <v>0</v>
      </c>
      <c r="T290">
        <v>0</v>
      </c>
      <c r="U290">
        <v>0</v>
      </c>
      <c r="W290">
        <v>0</v>
      </c>
      <c r="X290">
        <v>0</v>
      </c>
      <c r="Y290" t="s">
        <v>91</v>
      </c>
      <c r="Z290">
        <v>0</v>
      </c>
      <c r="AA290">
        <v>0</v>
      </c>
      <c r="AB290" t="s">
        <v>91</v>
      </c>
      <c r="AE290">
        <v>0</v>
      </c>
      <c r="AF290">
        <v>0</v>
      </c>
    </row>
    <row r="291" spans="1:32" x14ac:dyDescent="0.2">
      <c r="A291" t="s">
        <v>92</v>
      </c>
      <c r="B291" t="s">
        <v>291</v>
      </c>
      <c r="C291" t="s">
        <v>292</v>
      </c>
      <c r="D291" t="s">
        <v>112</v>
      </c>
      <c r="I291" t="s">
        <v>85</v>
      </c>
      <c r="K291">
        <v>0</v>
      </c>
      <c r="L291">
        <v>0</v>
      </c>
      <c r="M291">
        <v>0</v>
      </c>
      <c r="O291">
        <v>0</v>
      </c>
      <c r="P291">
        <v>0</v>
      </c>
      <c r="Q291">
        <v>0</v>
      </c>
      <c r="S291">
        <v>0</v>
      </c>
      <c r="T291">
        <v>0</v>
      </c>
      <c r="U291">
        <v>0</v>
      </c>
      <c r="W291">
        <v>0</v>
      </c>
      <c r="X291">
        <v>0</v>
      </c>
      <c r="Y291" t="s">
        <v>91</v>
      </c>
      <c r="Z291">
        <v>0</v>
      </c>
      <c r="AA291">
        <v>0</v>
      </c>
      <c r="AB291" t="s">
        <v>91</v>
      </c>
      <c r="AE291">
        <v>0</v>
      </c>
      <c r="AF291">
        <v>0</v>
      </c>
    </row>
    <row r="292" spans="1:32" x14ac:dyDescent="0.2">
      <c r="A292" t="s">
        <v>92</v>
      </c>
      <c r="B292" t="s">
        <v>291</v>
      </c>
      <c r="C292" t="s">
        <v>292</v>
      </c>
      <c r="D292" t="s">
        <v>112</v>
      </c>
      <c r="F292" t="s">
        <v>355</v>
      </c>
      <c r="I292" t="s">
        <v>85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0</v>
      </c>
      <c r="W292">
        <v>0</v>
      </c>
      <c r="X292">
        <v>0</v>
      </c>
      <c r="Y292" t="s">
        <v>91</v>
      </c>
      <c r="Z292">
        <v>0</v>
      </c>
      <c r="AA292">
        <v>0</v>
      </c>
      <c r="AB292" t="s">
        <v>91</v>
      </c>
      <c r="AE292">
        <v>0</v>
      </c>
      <c r="AF292">
        <v>0</v>
      </c>
    </row>
    <row r="293" spans="1:32" x14ac:dyDescent="0.2">
      <c r="A293" t="s">
        <v>92</v>
      </c>
      <c r="B293" t="s">
        <v>291</v>
      </c>
      <c r="C293" t="s">
        <v>292</v>
      </c>
      <c r="D293" t="s">
        <v>112</v>
      </c>
      <c r="I293" t="s">
        <v>85</v>
      </c>
      <c r="K293">
        <v>0</v>
      </c>
      <c r="L293">
        <v>0</v>
      </c>
      <c r="M293">
        <v>0</v>
      </c>
      <c r="O293">
        <v>0</v>
      </c>
      <c r="P293">
        <v>0</v>
      </c>
      <c r="Q293">
        <v>0</v>
      </c>
      <c r="S293">
        <v>0</v>
      </c>
      <c r="T293">
        <v>0</v>
      </c>
      <c r="U293">
        <v>0</v>
      </c>
      <c r="W293">
        <v>0</v>
      </c>
      <c r="X293">
        <v>0</v>
      </c>
      <c r="Y293" t="s">
        <v>91</v>
      </c>
      <c r="Z293">
        <v>0</v>
      </c>
      <c r="AA293">
        <v>0</v>
      </c>
      <c r="AB293" t="s">
        <v>91</v>
      </c>
      <c r="AE293">
        <v>0</v>
      </c>
      <c r="AF293">
        <v>0</v>
      </c>
    </row>
    <row r="294" spans="1:32" x14ac:dyDescent="0.2">
      <c r="A294" t="s">
        <v>92</v>
      </c>
      <c r="B294" t="s">
        <v>291</v>
      </c>
      <c r="C294" t="s">
        <v>292</v>
      </c>
      <c r="D294" t="s">
        <v>112</v>
      </c>
      <c r="I294" t="s">
        <v>85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0</v>
      </c>
      <c r="S294">
        <v>0</v>
      </c>
      <c r="T294">
        <v>0</v>
      </c>
      <c r="U294">
        <v>0</v>
      </c>
      <c r="W294">
        <v>0</v>
      </c>
      <c r="X294">
        <v>0</v>
      </c>
      <c r="Y294" t="s">
        <v>91</v>
      </c>
      <c r="Z294">
        <v>0</v>
      </c>
      <c r="AA294">
        <v>0</v>
      </c>
      <c r="AB294" t="s">
        <v>91</v>
      </c>
      <c r="AD294" t="s">
        <v>131</v>
      </c>
      <c r="AE294">
        <v>0</v>
      </c>
      <c r="AF294">
        <v>0</v>
      </c>
    </row>
    <row r="295" spans="1:32" x14ac:dyDescent="0.2">
      <c r="A295" t="s">
        <v>92</v>
      </c>
      <c r="B295" t="s">
        <v>291</v>
      </c>
      <c r="C295" t="s">
        <v>292</v>
      </c>
      <c r="D295" t="s">
        <v>112</v>
      </c>
      <c r="I295" t="s">
        <v>85</v>
      </c>
      <c r="K295">
        <v>0</v>
      </c>
      <c r="L295">
        <v>0</v>
      </c>
      <c r="M295">
        <v>0</v>
      </c>
      <c r="O295">
        <v>0</v>
      </c>
      <c r="P295">
        <v>0</v>
      </c>
      <c r="Q295">
        <v>0</v>
      </c>
      <c r="S295">
        <v>0</v>
      </c>
      <c r="T295">
        <v>0</v>
      </c>
      <c r="U295">
        <v>0</v>
      </c>
      <c r="W295">
        <v>0</v>
      </c>
      <c r="X295">
        <v>0</v>
      </c>
      <c r="Y295" t="s">
        <v>91</v>
      </c>
      <c r="Z295">
        <v>0</v>
      </c>
      <c r="AA295">
        <v>0</v>
      </c>
      <c r="AB295" t="s">
        <v>91</v>
      </c>
      <c r="AE295">
        <v>0</v>
      </c>
      <c r="AF295">
        <v>0</v>
      </c>
    </row>
    <row r="296" spans="1:32" x14ac:dyDescent="0.2">
      <c r="A296" t="s">
        <v>92</v>
      </c>
      <c r="B296" t="s">
        <v>291</v>
      </c>
      <c r="C296" t="s">
        <v>292</v>
      </c>
      <c r="D296" t="s">
        <v>112</v>
      </c>
      <c r="I296" t="s">
        <v>85</v>
      </c>
      <c r="K296">
        <v>0</v>
      </c>
      <c r="L296">
        <v>0</v>
      </c>
      <c r="M296">
        <v>0</v>
      </c>
      <c r="O296">
        <v>0</v>
      </c>
      <c r="P296">
        <v>0</v>
      </c>
      <c r="Q296">
        <v>0</v>
      </c>
      <c r="S296">
        <v>0</v>
      </c>
      <c r="T296">
        <v>0</v>
      </c>
      <c r="U296">
        <v>0</v>
      </c>
      <c r="W296">
        <v>0</v>
      </c>
      <c r="X296">
        <v>0</v>
      </c>
      <c r="Y296" t="s">
        <v>91</v>
      </c>
      <c r="Z296">
        <v>0</v>
      </c>
      <c r="AA296">
        <v>0</v>
      </c>
      <c r="AB296" t="s">
        <v>91</v>
      </c>
      <c r="AE296">
        <v>0</v>
      </c>
      <c r="AF296">
        <v>0</v>
      </c>
    </row>
    <row r="297" spans="1:32" x14ac:dyDescent="0.2">
      <c r="A297" t="s">
        <v>92</v>
      </c>
      <c r="B297" t="s">
        <v>291</v>
      </c>
      <c r="C297" t="s">
        <v>292</v>
      </c>
      <c r="D297" t="s">
        <v>112</v>
      </c>
      <c r="I297" t="s">
        <v>85</v>
      </c>
      <c r="K297">
        <v>0</v>
      </c>
      <c r="L297">
        <v>0</v>
      </c>
      <c r="M297">
        <v>0</v>
      </c>
      <c r="O297">
        <v>0</v>
      </c>
      <c r="P297">
        <v>0</v>
      </c>
      <c r="Q297">
        <v>0</v>
      </c>
      <c r="S297">
        <v>0</v>
      </c>
      <c r="T297">
        <v>0</v>
      </c>
      <c r="U297">
        <v>0</v>
      </c>
      <c r="W297">
        <v>0</v>
      </c>
      <c r="X297">
        <v>0</v>
      </c>
      <c r="Y297" t="s">
        <v>91</v>
      </c>
      <c r="Z297">
        <v>0</v>
      </c>
      <c r="AA297">
        <v>0</v>
      </c>
      <c r="AB297" t="s">
        <v>91</v>
      </c>
      <c r="AE297">
        <v>0</v>
      </c>
      <c r="AF297">
        <v>0</v>
      </c>
    </row>
    <row r="298" spans="1:32" x14ac:dyDescent="0.2">
      <c r="A298" t="s">
        <v>92</v>
      </c>
      <c r="B298" t="s">
        <v>356</v>
      </c>
      <c r="C298" t="s">
        <v>357</v>
      </c>
      <c r="D298" t="s">
        <v>112</v>
      </c>
      <c r="E298" t="s">
        <v>113</v>
      </c>
      <c r="F298" t="s">
        <v>358</v>
      </c>
      <c r="G298">
        <v>58</v>
      </c>
      <c r="H298" t="s">
        <v>48</v>
      </c>
      <c r="I298" t="s">
        <v>85</v>
      </c>
      <c r="J298" t="s">
        <v>144</v>
      </c>
      <c r="K298">
        <v>0</v>
      </c>
      <c r="L298">
        <v>1</v>
      </c>
      <c r="M298">
        <v>1</v>
      </c>
      <c r="N298" t="s">
        <v>65</v>
      </c>
      <c r="O298">
        <v>0</v>
      </c>
      <c r="P298">
        <v>1</v>
      </c>
      <c r="Q298">
        <v>1</v>
      </c>
      <c r="R298" t="s">
        <v>51</v>
      </c>
      <c r="S298">
        <v>0</v>
      </c>
      <c r="T298">
        <v>0</v>
      </c>
      <c r="U298">
        <v>1</v>
      </c>
      <c r="V298" t="s">
        <v>53</v>
      </c>
      <c r="W298">
        <v>0</v>
      </c>
      <c r="X298">
        <v>1</v>
      </c>
      <c r="Y298" t="s">
        <v>52</v>
      </c>
      <c r="Z298">
        <v>1</v>
      </c>
      <c r="AA298">
        <v>1</v>
      </c>
      <c r="AB298" t="s">
        <v>359</v>
      </c>
      <c r="AC298" t="s">
        <v>98</v>
      </c>
      <c r="AD298" t="s">
        <v>98</v>
      </c>
      <c r="AE298">
        <v>1</v>
      </c>
      <c r="AF298">
        <v>1</v>
      </c>
    </row>
    <row r="299" spans="1:32" x14ac:dyDescent="0.2">
      <c r="A299" t="s">
        <v>92</v>
      </c>
      <c r="B299" t="s">
        <v>356</v>
      </c>
      <c r="C299" t="s">
        <v>357</v>
      </c>
      <c r="D299" t="s">
        <v>95</v>
      </c>
      <c r="E299" t="s">
        <v>96</v>
      </c>
      <c r="F299" t="s">
        <v>360</v>
      </c>
      <c r="G299">
        <v>53</v>
      </c>
      <c r="H299" t="s">
        <v>48</v>
      </c>
      <c r="I299" t="s">
        <v>70</v>
      </c>
      <c r="J299" t="s">
        <v>50</v>
      </c>
      <c r="K299">
        <v>0</v>
      </c>
      <c r="L299">
        <v>0</v>
      </c>
      <c r="M299">
        <v>1</v>
      </c>
      <c r="N299" t="s">
        <v>73</v>
      </c>
      <c r="O299">
        <v>1</v>
      </c>
      <c r="P299">
        <v>0</v>
      </c>
      <c r="Q299">
        <v>1</v>
      </c>
      <c r="R299" t="s">
        <v>60</v>
      </c>
      <c r="S299">
        <v>0</v>
      </c>
      <c r="T299">
        <v>1</v>
      </c>
      <c r="U299">
        <v>1</v>
      </c>
      <c r="V299" t="s">
        <v>53</v>
      </c>
      <c r="W299">
        <v>0</v>
      </c>
      <c r="X299">
        <v>1</v>
      </c>
      <c r="Y299" t="s">
        <v>53</v>
      </c>
      <c r="Z299">
        <v>0</v>
      </c>
      <c r="AA299">
        <v>1</v>
      </c>
      <c r="AB299" t="s">
        <v>359</v>
      </c>
      <c r="AC299" t="s">
        <v>131</v>
      </c>
      <c r="AD299" t="s">
        <v>98</v>
      </c>
      <c r="AE299">
        <v>1</v>
      </c>
      <c r="AF299">
        <v>1</v>
      </c>
    </row>
    <row r="300" spans="1:32" x14ac:dyDescent="0.2">
      <c r="A300" t="s">
        <v>92</v>
      </c>
      <c r="B300" t="s">
        <v>356</v>
      </c>
      <c r="C300" t="s">
        <v>357</v>
      </c>
      <c r="D300" t="s">
        <v>95</v>
      </c>
      <c r="E300" t="s">
        <v>96</v>
      </c>
      <c r="F300" t="s">
        <v>361</v>
      </c>
      <c r="G300">
        <v>35</v>
      </c>
      <c r="H300" t="s">
        <v>48</v>
      </c>
      <c r="I300" t="s">
        <v>49</v>
      </c>
      <c r="J300" t="s">
        <v>50</v>
      </c>
      <c r="K300">
        <v>0</v>
      </c>
      <c r="L300">
        <v>0</v>
      </c>
      <c r="M300">
        <v>1</v>
      </c>
      <c r="N300" t="s">
        <v>50</v>
      </c>
      <c r="O300">
        <v>0</v>
      </c>
      <c r="P300">
        <v>0</v>
      </c>
      <c r="Q300">
        <v>1</v>
      </c>
      <c r="R300" t="s">
        <v>60</v>
      </c>
      <c r="S300">
        <v>0</v>
      </c>
      <c r="T300">
        <v>1</v>
      </c>
      <c r="U300">
        <v>1</v>
      </c>
      <c r="V300" t="s">
        <v>53</v>
      </c>
      <c r="W300">
        <v>0</v>
      </c>
      <c r="X300">
        <v>1</v>
      </c>
      <c r="Y300" t="s">
        <v>52</v>
      </c>
      <c r="Z300">
        <v>1</v>
      </c>
      <c r="AA300">
        <v>1</v>
      </c>
      <c r="AB300" t="s">
        <v>359</v>
      </c>
      <c r="AC300" t="s">
        <v>98</v>
      </c>
      <c r="AD300" t="s">
        <v>98</v>
      </c>
      <c r="AE300">
        <v>1</v>
      </c>
      <c r="AF300">
        <v>1</v>
      </c>
    </row>
    <row r="301" spans="1:32" x14ac:dyDescent="0.2">
      <c r="A301" t="s">
        <v>92</v>
      </c>
      <c r="B301" t="s">
        <v>356</v>
      </c>
      <c r="C301" t="s">
        <v>357</v>
      </c>
      <c r="D301" t="s">
        <v>95</v>
      </c>
      <c r="E301" t="s">
        <v>96</v>
      </c>
      <c r="F301" t="s">
        <v>362</v>
      </c>
      <c r="G301">
        <v>36</v>
      </c>
      <c r="H301" t="s">
        <v>48</v>
      </c>
      <c r="I301" t="s">
        <v>64</v>
      </c>
      <c r="J301" t="s">
        <v>50</v>
      </c>
      <c r="K301">
        <v>0</v>
      </c>
      <c r="L301">
        <v>0</v>
      </c>
      <c r="M301">
        <v>1</v>
      </c>
      <c r="N301" t="s">
        <v>50</v>
      </c>
      <c r="O301">
        <v>0</v>
      </c>
      <c r="P301">
        <v>0</v>
      </c>
      <c r="Q301">
        <v>1</v>
      </c>
      <c r="R301" t="s">
        <v>51</v>
      </c>
      <c r="S301">
        <v>0</v>
      </c>
      <c r="T301">
        <v>0</v>
      </c>
      <c r="U301">
        <v>1</v>
      </c>
      <c r="V301" t="s">
        <v>52</v>
      </c>
      <c r="W301">
        <v>1</v>
      </c>
      <c r="X301">
        <v>1</v>
      </c>
      <c r="Y301" t="s">
        <v>52</v>
      </c>
      <c r="Z301">
        <v>1</v>
      </c>
      <c r="AA301">
        <v>1</v>
      </c>
      <c r="AB301" t="s">
        <v>359</v>
      </c>
      <c r="AC301" t="s">
        <v>131</v>
      </c>
      <c r="AD301" t="s">
        <v>98</v>
      </c>
      <c r="AE301">
        <v>1</v>
      </c>
      <c r="AF301">
        <v>1</v>
      </c>
    </row>
    <row r="302" spans="1:32" x14ac:dyDescent="0.2">
      <c r="A302" t="s">
        <v>92</v>
      </c>
      <c r="B302" t="s">
        <v>356</v>
      </c>
      <c r="C302" t="s">
        <v>357</v>
      </c>
      <c r="D302" t="s">
        <v>95</v>
      </c>
      <c r="E302" t="s">
        <v>96</v>
      </c>
      <c r="F302" t="s">
        <v>363</v>
      </c>
      <c r="G302">
        <v>27</v>
      </c>
      <c r="H302" t="s">
        <v>48</v>
      </c>
      <c r="I302" t="s">
        <v>49</v>
      </c>
      <c r="J302" t="s">
        <v>144</v>
      </c>
      <c r="K302">
        <v>0</v>
      </c>
      <c r="L302">
        <v>1</v>
      </c>
      <c r="M302">
        <v>1</v>
      </c>
      <c r="N302" t="s">
        <v>50</v>
      </c>
      <c r="O302">
        <v>0</v>
      </c>
      <c r="P302">
        <v>0</v>
      </c>
      <c r="Q302">
        <v>1</v>
      </c>
      <c r="R302" t="s">
        <v>51</v>
      </c>
      <c r="S302">
        <v>0</v>
      </c>
      <c r="T302">
        <v>0</v>
      </c>
      <c r="U302">
        <v>1</v>
      </c>
      <c r="V302" t="s">
        <v>53</v>
      </c>
      <c r="W302">
        <v>0</v>
      </c>
      <c r="X302">
        <v>1</v>
      </c>
      <c r="Y302" t="s">
        <v>53</v>
      </c>
      <c r="Z302">
        <v>0</v>
      </c>
      <c r="AA302">
        <v>1</v>
      </c>
      <c r="AB302" t="s">
        <v>359</v>
      </c>
      <c r="AC302" t="s">
        <v>98</v>
      </c>
      <c r="AD302" t="s">
        <v>98</v>
      </c>
      <c r="AE302">
        <v>1</v>
      </c>
      <c r="AF302">
        <v>1</v>
      </c>
    </row>
    <row r="303" spans="1:32" x14ac:dyDescent="0.2">
      <c r="A303" t="s">
        <v>92</v>
      </c>
      <c r="B303" t="s">
        <v>356</v>
      </c>
      <c r="C303" t="s">
        <v>357</v>
      </c>
      <c r="D303" t="s">
        <v>95</v>
      </c>
      <c r="E303" t="s">
        <v>96</v>
      </c>
      <c r="F303" t="s">
        <v>364</v>
      </c>
      <c r="G303">
        <v>38</v>
      </c>
      <c r="H303" t="s">
        <v>48</v>
      </c>
      <c r="I303" t="s">
        <v>64</v>
      </c>
      <c r="J303" t="s">
        <v>50</v>
      </c>
      <c r="K303">
        <v>0</v>
      </c>
      <c r="L303">
        <v>0</v>
      </c>
      <c r="M303">
        <v>1</v>
      </c>
      <c r="N303" t="s">
        <v>65</v>
      </c>
      <c r="O303">
        <v>0</v>
      </c>
      <c r="P303">
        <v>1</v>
      </c>
      <c r="Q303">
        <v>1</v>
      </c>
      <c r="R303" t="s">
        <v>60</v>
      </c>
      <c r="S303">
        <v>0</v>
      </c>
      <c r="T303">
        <v>1</v>
      </c>
      <c r="U303">
        <v>1</v>
      </c>
      <c r="V303" t="s">
        <v>53</v>
      </c>
      <c r="W303">
        <v>0</v>
      </c>
      <c r="X303">
        <v>1</v>
      </c>
      <c r="Y303" t="s">
        <v>53</v>
      </c>
      <c r="Z303">
        <v>0</v>
      </c>
      <c r="AA303">
        <v>1</v>
      </c>
      <c r="AB303" t="s">
        <v>359</v>
      </c>
      <c r="AC303" t="s">
        <v>98</v>
      </c>
      <c r="AD303" t="s">
        <v>98</v>
      </c>
      <c r="AE303">
        <v>1</v>
      </c>
      <c r="AF303">
        <v>1</v>
      </c>
    </row>
    <row r="304" spans="1:32" x14ac:dyDescent="0.2">
      <c r="A304" t="s">
        <v>92</v>
      </c>
      <c r="B304" t="s">
        <v>356</v>
      </c>
      <c r="C304" t="s">
        <v>357</v>
      </c>
      <c r="D304" t="s">
        <v>95</v>
      </c>
      <c r="E304" t="s">
        <v>96</v>
      </c>
      <c r="F304" t="s">
        <v>365</v>
      </c>
      <c r="G304">
        <v>32</v>
      </c>
      <c r="H304" t="s">
        <v>56</v>
      </c>
      <c r="I304" t="s">
        <v>49</v>
      </c>
      <c r="J304" t="s">
        <v>50</v>
      </c>
      <c r="K304">
        <v>0</v>
      </c>
      <c r="L304">
        <v>0</v>
      </c>
      <c r="M304">
        <v>1</v>
      </c>
      <c r="N304" t="s">
        <v>50</v>
      </c>
      <c r="O304">
        <v>0</v>
      </c>
      <c r="P304">
        <v>0</v>
      </c>
      <c r="Q304">
        <v>1</v>
      </c>
      <c r="R304" t="s">
        <v>51</v>
      </c>
      <c r="S304">
        <v>0</v>
      </c>
      <c r="T304">
        <v>0</v>
      </c>
      <c r="U304">
        <v>1</v>
      </c>
      <c r="V304" t="s">
        <v>53</v>
      </c>
      <c r="W304">
        <v>0</v>
      </c>
      <c r="X304">
        <v>1</v>
      </c>
      <c r="Y304" t="s">
        <v>52</v>
      </c>
      <c r="Z304">
        <v>1</v>
      </c>
      <c r="AA304">
        <v>1</v>
      </c>
      <c r="AB304" t="s">
        <v>359</v>
      </c>
      <c r="AC304" t="s">
        <v>131</v>
      </c>
      <c r="AD304" t="s">
        <v>98</v>
      </c>
      <c r="AE304">
        <v>1</v>
      </c>
      <c r="AF304">
        <v>1</v>
      </c>
    </row>
    <row r="305" spans="1:32" x14ac:dyDescent="0.2">
      <c r="A305" t="s">
        <v>92</v>
      </c>
      <c r="B305" t="s">
        <v>356</v>
      </c>
      <c r="C305" t="s">
        <v>357</v>
      </c>
      <c r="D305" t="s">
        <v>95</v>
      </c>
      <c r="E305" t="s">
        <v>96</v>
      </c>
      <c r="F305" t="s">
        <v>366</v>
      </c>
      <c r="G305">
        <v>36</v>
      </c>
      <c r="H305" t="s">
        <v>48</v>
      </c>
      <c r="I305" t="s">
        <v>64</v>
      </c>
      <c r="J305" t="s">
        <v>50</v>
      </c>
      <c r="K305">
        <v>0</v>
      </c>
      <c r="L305">
        <v>0</v>
      </c>
      <c r="M305">
        <v>1</v>
      </c>
      <c r="N305" t="s">
        <v>50</v>
      </c>
      <c r="O305">
        <v>0</v>
      </c>
      <c r="P305">
        <v>0</v>
      </c>
      <c r="Q305">
        <v>1</v>
      </c>
      <c r="R305" t="s">
        <v>62</v>
      </c>
      <c r="S305">
        <v>1</v>
      </c>
      <c r="T305">
        <v>0</v>
      </c>
      <c r="U305">
        <v>1</v>
      </c>
      <c r="V305" t="s">
        <v>53</v>
      </c>
      <c r="W305">
        <v>0</v>
      </c>
      <c r="X305">
        <v>1</v>
      </c>
      <c r="Y305" t="s">
        <v>53</v>
      </c>
      <c r="Z305">
        <v>0</v>
      </c>
      <c r="AA305">
        <v>1</v>
      </c>
      <c r="AB305" t="s">
        <v>359</v>
      </c>
      <c r="AC305" t="s">
        <v>98</v>
      </c>
      <c r="AD305" t="s">
        <v>98</v>
      </c>
      <c r="AE305">
        <v>1</v>
      </c>
      <c r="AF305">
        <v>1</v>
      </c>
    </row>
    <row r="306" spans="1:32" x14ac:dyDescent="0.2">
      <c r="A306" t="s">
        <v>92</v>
      </c>
      <c r="B306" t="s">
        <v>356</v>
      </c>
      <c r="C306" t="s">
        <v>357</v>
      </c>
      <c r="D306" t="s">
        <v>112</v>
      </c>
      <c r="E306" t="s">
        <v>113</v>
      </c>
      <c r="F306" t="s">
        <v>367</v>
      </c>
      <c r="G306">
        <v>54</v>
      </c>
      <c r="H306" t="s">
        <v>48</v>
      </c>
      <c r="I306" t="s">
        <v>70</v>
      </c>
      <c r="J306" t="s">
        <v>144</v>
      </c>
      <c r="K306">
        <v>0</v>
      </c>
      <c r="L306">
        <v>1</v>
      </c>
      <c r="M306">
        <v>1</v>
      </c>
      <c r="N306" t="s">
        <v>65</v>
      </c>
      <c r="O306">
        <v>0</v>
      </c>
      <c r="P306">
        <v>1</v>
      </c>
      <c r="Q306">
        <v>1</v>
      </c>
      <c r="R306" t="s">
        <v>60</v>
      </c>
      <c r="S306">
        <v>0</v>
      </c>
      <c r="T306">
        <v>1</v>
      </c>
      <c r="U306">
        <v>1</v>
      </c>
      <c r="W306">
        <v>0</v>
      </c>
      <c r="X306">
        <v>0</v>
      </c>
      <c r="Y306" t="s">
        <v>52</v>
      </c>
      <c r="Z306">
        <v>1</v>
      </c>
      <c r="AA306">
        <v>1</v>
      </c>
      <c r="AB306" t="s">
        <v>359</v>
      </c>
      <c r="AC306" t="s">
        <v>98</v>
      </c>
      <c r="AD306" t="s">
        <v>131</v>
      </c>
      <c r="AE306">
        <v>1</v>
      </c>
      <c r="AF306">
        <v>1</v>
      </c>
    </row>
    <row r="307" spans="1:32" x14ac:dyDescent="0.2">
      <c r="A307" t="s">
        <v>92</v>
      </c>
      <c r="B307" t="s">
        <v>356</v>
      </c>
      <c r="C307" t="s">
        <v>357</v>
      </c>
      <c r="D307" t="s">
        <v>112</v>
      </c>
      <c r="E307" t="s">
        <v>113</v>
      </c>
      <c r="F307" t="s">
        <v>368</v>
      </c>
      <c r="G307">
        <v>53</v>
      </c>
      <c r="H307" t="s">
        <v>48</v>
      </c>
      <c r="I307" t="s">
        <v>70</v>
      </c>
      <c r="J307" t="s">
        <v>50</v>
      </c>
      <c r="K307">
        <v>0</v>
      </c>
      <c r="L307">
        <v>0</v>
      </c>
      <c r="M307">
        <v>1</v>
      </c>
      <c r="N307" t="s">
        <v>50</v>
      </c>
      <c r="O307">
        <v>0</v>
      </c>
      <c r="P307">
        <v>0</v>
      </c>
      <c r="Q307">
        <v>1</v>
      </c>
      <c r="R307" t="s">
        <v>62</v>
      </c>
      <c r="S307">
        <v>1</v>
      </c>
      <c r="T307">
        <v>0</v>
      </c>
      <c r="U307">
        <v>1</v>
      </c>
      <c r="W307">
        <v>0</v>
      </c>
      <c r="X307">
        <v>0</v>
      </c>
      <c r="Y307" t="s">
        <v>52</v>
      </c>
      <c r="Z307">
        <v>1</v>
      </c>
      <c r="AA307">
        <v>1</v>
      </c>
      <c r="AB307" t="s">
        <v>359</v>
      </c>
      <c r="AC307" t="s">
        <v>98</v>
      </c>
      <c r="AD307" t="s">
        <v>131</v>
      </c>
      <c r="AE307">
        <v>1</v>
      </c>
      <c r="AF307">
        <v>1</v>
      </c>
    </row>
    <row r="308" spans="1:32" x14ac:dyDescent="0.2">
      <c r="A308" t="s">
        <v>92</v>
      </c>
      <c r="B308" t="s">
        <v>356</v>
      </c>
      <c r="C308" t="s">
        <v>357</v>
      </c>
      <c r="D308" t="s">
        <v>95</v>
      </c>
      <c r="E308" t="s">
        <v>96</v>
      </c>
      <c r="F308" t="s">
        <v>369</v>
      </c>
      <c r="G308">
        <v>38</v>
      </c>
      <c r="H308" t="s">
        <v>48</v>
      </c>
      <c r="I308" t="s">
        <v>64</v>
      </c>
      <c r="J308" t="s">
        <v>50</v>
      </c>
      <c r="K308">
        <v>0</v>
      </c>
      <c r="L308">
        <v>0</v>
      </c>
      <c r="M308">
        <v>1</v>
      </c>
      <c r="N308" t="s">
        <v>65</v>
      </c>
      <c r="O308">
        <v>0</v>
      </c>
      <c r="P308">
        <v>1</v>
      </c>
      <c r="Q308">
        <v>1</v>
      </c>
      <c r="R308" t="s">
        <v>62</v>
      </c>
      <c r="S308">
        <v>1</v>
      </c>
      <c r="T308">
        <v>0</v>
      </c>
      <c r="U308">
        <v>1</v>
      </c>
      <c r="V308" t="s">
        <v>52</v>
      </c>
      <c r="W308">
        <v>1</v>
      </c>
      <c r="X308">
        <v>1</v>
      </c>
      <c r="Y308" t="s">
        <v>52</v>
      </c>
      <c r="Z308">
        <v>1</v>
      </c>
      <c r="AA308">
        <v>1</v>
      </c>
      <c r="AB308" t="s">
        <v>359</v>
      </c>
      <c r="AC308" t="s">
        <v>98</v>
      </c>
      <c r="AD308" t="s">
        <v>98</v>
      </c>
      <c r="AE308">
        <v>1</v>
      </c>
      <c r="AF308">
        <v>1</v>
      </c>
    </row>
    <row r="309" spans="1:32" x14ac:dyDescent="0.2">
      <c r="A309" t="s">
        <v>92</v>
      </c>
      <c r="B309" t="s">
        <v>356</v>
      </c>
      <c r="C309" t="s">
        <v>357</v>
      </c>
      <c r="D309" t="s">
        <v>95</v>
      </c>
      <c r="E309" t="s">
        <v>96</v>
      </c>
      <c r="F309" t="s">
        <v>370</v>
      </c>
      <c r="G309">
        <v>30</v>
      </c>
      <c r="H309" t="s">
        <v>48</v>
      </c>
      <c r="I309" t="s">
        <v>49</v>
      </c>
      <c r="J309" t="s">
        <v>144</v>
      </c>
      <c r="K309">
        <v>0</v>
      </c>
      <c r="L309">
        <v>1</v>
      </c>
      <c r="M309">
        <v>1</v>
      </c>
      <c r="N309" t="s">
        <v>65</v>
      </c>
      <c r="O309">
        <v>0</v>
      </c>
      <c r="P309">
        <v>1</v>
      </c>
      <c r="Q309">
        <v>1</v>
      </c>
      <c r="R309" t="s">
        <v>60</v>
      </c>
      <c r="S309">
        <v>0</v>
      </c>
      <c r="T309">
        <v>1</v>
      </c>
      <c r="U309">
        <v>1</v>
      </c>
      <c r="V309" t="s">
        <v>52</v>
      </c>
      <c r="W309">
        <v>1</v>
      </c>
      <c r="X309">
        <v>1</v>
      </c>
      <c r="Y309" t="s">
        <v>53</v>
      </c>
      <c r="Z309">
        <v>0</v>
      </c>
      <c r="AA309">
        <v>1</v>
      </c>
      <c r="AB309" t="s">
        <v>359</v>
      </c>
      <c r="AC309" t="s">
        <v>98</v>
      </c>
      <c r="AD309" t="s">
        <v>98</v>
      </c>
      <c r="AE309">
        <v>1</v>
      </c>
      <c r="AF309">
        <v>1</v>
      </c>
    </row>
    <row r="310" spans="1:32" x14ac:dyDescent="0.2">
      <c r="A310" t="s">
        <v>92</v>
      </c>
      <c r="B310" t="s">
        <v>356</v>
      </c>
      <c r="C310" t="s">
        <v>357</v>
      </c>
      <c r="D310" t="s">
        <v>371</v>
      </c>
      <c r="E310" t="s">
        <v>372</v>
      </c>
      <c r="F310" t="s">
        <v>373</v>
      </c>
      <c r="G310">
        <v>51</v>
      </c>
      <c r="H310" t="s">
        <v>56</v>
      </c>
      <c r="I310" t="s">
        <v>70</v>
      </c>
      <c r="J310" t="s">
        <v>50</v>
      </c>
      <c r="K310">
        <v>0</v>
      </c>
      <c r="L310">
        <v>0</v>
      </c>
      <c r="M310">
        <v>1</v>
      </c>
      <c r="N310" t="s">
        <v>65</v>
      </c>
      <c r="O310">
        <v>0</v>
      </c>
      <c r="P310">
        <v>1</v>
      </c>
      <c r="Q310">
        <v>1</v>
      </c>
      <c r="R310" t="s">
        <v>51</v>
      </c>
      <c r="S310">
        <v>0</v>
      </c>
      <c r="T310">
        <v>0</v>
      </c>
      <c r="U310">
        <v>1</v>
      </c>
      <c r="V310" t="s">
        <v>52</v>
      </c>
      <c r="W310">
        <v>1</v>
      </c>
      <c r="X310">
        <v>1</v>
      </c>
      <c r="Y310" t="s">
        <v>52</v>
      </c>
      <c r="Z310">
        <v>1</v>
      </c>
      <c r="AA310">
        <v>1</v>
      </c>
      <c r="AB310" t="s">
        <v>359</v>
      </c>
      <c r="AC310" t="s">
        <v>98</v>
      </c>
      <c r="AD310" t="s">
        <v>98</v>
      </c>
      <c r="AE310">
        <v>1</v>
      </c>
      <c r="AF310">
        <v>1</v>
      </c>
    </row>
    <row r="311" spans="1:32" x14ac:dyDescent="0.2">
      <c r="A311" t="s">
        <v>92</v>
      </c>
      <c r="B311" t="s">
        <v>356</v>
      </c>
      <c r="C311" t="s">
        <v>357</v>
      </c>
      <c r="D311" t="s">
        <v>95</v>
      </c>
      <c r="E311" t="s">
        <v>96</v>
      </c>
      <c r="F311" t="s">
        <v>374</v>
      </c>
      <c r="G311">
        <v>35</v>
      </c>
      <c r="H311" t="s">
        <v>48</v>
      </c>
      <c r="I311" t="s">
        <v>49</v>
      </c>
      <c r="J311" t="s">
        <v>50</v>
      </c>
      <c r="K311">
        <v>0</v>
      </c>
      <c r="L311">
        <v>0</v>
      </c>
      <c r="M311">
        <v>1</v>
      </c>
      <c r="N311" t="s">
        <v>65</v>
      </c>
      <c r="O311">
        <v>0</v>
      </c>
      <c r="P311">
        <v>1</v>
      </c>
      <c r="Q311">
        <v>1</v>
      </c>
      <c r="R311" t="s">
        <v>60</v>
      </c>
      <c r="S311">
        <v>0</v>
      </c>
      <c r="T311">
        <v>1</v>
      </c>
      <c r="U311">
        <v>1</v>
      </c>
      <c r="V311" t="s">
        <v>53</v>
      </c>
      <c r="W311">
        <v>0</v>
      </c>
      <c r="X311">
        <v>1</v>
      </c>
      <c r="Y311" t="s">
        <v>53</v>
      </c>
      <c r="Z311">
        <v>0</v>
      </c>
      <c r="AA311">
        <v>1</v>
      </c>
      <c r="AB311" t="s">
        <v>359</v>
      </c>
      <c r="AC311" t="s">
        <v>98</v>
      </c>
      <c r="AD311" t="s">
        <v>98</v>
      </c>
      <c r="AE311">
        <v>1</v>
      </c>
      <c r="AF311">
        <v>1</v>
      </c>
    </row>
    <row r="312" spans="1:32" x14ac:dyDescent="0.2">
      <c r="A312" t="s">
        <v>92</v>
      </c>
      <c r="B312" t="s">
        <v>356</v>
      </c>
      <c r="C312" t="s">
        <v>357</v>
      </c>
      <c r="D312" t="s">
        <v>95</v>
      </c>
      <c r="E312" t="s">
        <v>96</v>
      </c>
      <c r="F312" t="s">
        <v>375</v>
      </c>
      <c r="G312">
        <v>53</v>
      </c>
      <c r="H312" t="s">
        <v>56</v>
      </c>
      <c r="I312" t="s">
        <v>70</v>
      </c>
      <c r="J312" t="s">
        <v>144</v>
      </c>
      <c r="K312">
        <v>0</v>
      </c>
      <c r="L312">
        <v>1</v>
      </c>
      <c r="M312">
        <v>1</v>
      </c>
      <c r="N312" t="s">
        <v>65</v>
      </c>
      <c r="O312">
        <v>0</v>
      </c>
      <c r="P312">
        <v>1</v>
      </c>
      <c r="Q312">
        <v>1</v>
      </c>
      <c r="R312" t="s">
        <v>62</v>
      </c>
      <c r="S312">
        <v>1</v>
      </c>
      <c r="T312">
        <v>0</v>
      </c>
      <c r="U312">
        <v>1</v>
      </c>
      <c r="V312" t="s">
        <v>53</v>
      </c>
      <c r="W312">
        <v>0</v>
      </c>
      <c r="X312">
        <v>1</v>
      </c>
      <c r="Y312" t="s">
        <v>52</v>
      </c>
      <c r="Z312">
        <v>1</v>
      </c>
      <c r="AA312">
        <v>1</v>
      </c>
      <c r="AB312" t="s">
        <v>359</v>
      </c>
      <c r="AC312" t="s">
        <v>131</v>
      </c>
      <c r="AD312" t="s">
        <v>98</v>
      </c>
      <c r="AE312">
        <v>1</v>
      </c>
      <c r="AF312">
        <v>1</v>
      </c>
    </row>
    <row r="313" spans="1:32" x14ac:dyDescent="0.2">
      <c r="A313" t="s">
        <v>92</v>
      </c>
      <c r="B313" t="s">
        <v>356</v>
      </c>
      <c r="C313" t="s">
        <v>357</v>
      </c>
      <c r="D313" t="s">
        <v>95</v>
      </c>
      <c r="E313" t="s">
        <v>96</v>
      </c>
      <c r="F313" t="s">
        <v>376</v>
      </c>
      <c r="G313">
        <v>40</v>
      </c>
      <c r="H313" t="s">
        <v>56</v>
      </c>
      <c r="I313" t="s">
        <v>64</v>
      </c>
      <c r="J313" t="s">
        <v>50</v>
      </c>
      <c r="K313">
        <v>0</v>
      </c>
      <c r="L313">
        <v>0</v>
      </c>
      <c r="M313">
        <v>1</v>
      </c>
      <c r="N313" t="s">
        <v>65</v>
      </c>
      <c r="O313">
        <v>0</v>
      </c>
      <c r="P313">
        <v>1</v>
      </c>
      <c r="Q313">
        <v>1</v>
      </c>
      <c r="R313" t="s">
        <v>60</v>
      </c>
      <c r="S313">
        <v>0</v>
      </c>
      <c r="T313">
        <v>1</v>
      </c>
      <c r="U313">
        <v>1</v>
      </c>
      <c r="V313" t="s">
        <v>53</v>
      </c>
      <c r="W313">
        <v>0</v>
      </c>
      <c r="X313">
        <v>1</v>
      </c>
      <c r="Y313" t="s">
        <v>52</v>
      </c>
      <c r="Z313">
        <v>1</v>
      </c>
      <c r="AA313">
        <v>1</v>
      </c>
      <c r="AB313" t="s">
        <v>359</v>
      </c>
      <c r="AC313" t="s">
        <v>131</v>
      </c>
      <c r="AD313" t="s">
        <v>98</v>
      </c>
      <c r="AE313">
        <v>1</v>
      </c>
      <c r="AF313">
        <v>1</v>
      </c>
    </row>
    <row r="314" spans="1:32" x14ac:dyDescent="0.2">
      <c r="A314" t="s">
        <v>92</v>
      </c>
      <c r="B314" t="s">
        <v>356</v>
      </c>
      <c r="C314" t="s">
        <v>357</v>
      </c>
      <c r="D314" t="s">
        <v>95</v>
      </c>
      <c r="E314" t="s">
        <v>96</v>
      </c>
      <c r="F314" t="s">
        <v>377</v>
      </c>
      <c r="G314">
        <v>29</v>
      </c>
      <c r="H314" t="s">
        <v>56</v>
      </c>
      <c r="I314" t="s">
        <v>49</v>
      </c>
      <c r="J314" t="s">
        <v>144</v>
      </c>
      <c r="K314">
        <v>0</v>
      </c>
      <c r="L314">
        <v>1</v>
      </c>
      <c r="M314">
        <v>1</v>
      </c>
      <c r="N314" t="s">
        <v>65</v>
      </c>
      <c r="O314">
        <v>0</v>
      </c>
      <c r="P314">
        <v>1</v>
      </c>
      <c r="Q314">
        <v>1</v>
      </c>
      <c r="R314" t="s">
        <v>60</v>
      </c>
      <c r="S314">
        <v>0</v>
      </c>
      <c r="T314">
        <v>1</v>
      </c>
      <c r="U314">
        <v>1</v>
      </c>
      <c r="V314" t="s">
        <v>53</v>
      </c>
      <c r="W314">
        <v>0</v>
      </c>
      <c r="X314">
        <v>1</v>
      </c>
      <c r="Y314" t="s">
        <v>53</v>
      </c>
      <c r="Z314">
        <v>0</v>
      </c>
      <c r="AA314">
        <v>1</v>
      </c>
      <c r="AB314" t="s">
        <v>359</v>
      </c>
      <c r="AC314" t="s">
        <v>131</v>
      </c>
      <c r="AD314" t="s">
        <v>98</v>
      </c>
      <c r="AE314">
        <v>1</v>
      </c>
      <c r="AF314">
        <v>1</v>
      </c>
    </row>
    <row r="315" spans="1:32" x14ac:dyDescent="0.2">
      <c r="A315" t="s">
        <v>92</v>
      </c>
      <c r="B315" t="s">
        <v>356</v>
      </c>
      <c r="C315" t="s">
        <v>357</v>
      </c>
      <c r="D315" t="s">
        <v>95</v>
      </c>
      <c r="E315" t="s">
        <v>96</v>
      </c>
      <c r="F315" t="s">
        <v>378</v>
      </c>
      <c r="G315">
        <v>36</v>
      </c>
      <c r="H315" t="s">
        <v>56</v>
      </c>
      <c r="I315" t="s">
        <v>64</v>
      </c>
      <c r="J315" t="s">
        <v>50</v>
      </c>
      <c r="K315">
        <v>0</v>
      </c>
      <c r="L315">
        <v>0</v>
      </c>
      <c r="M315">
        <v>1</v>
      </c>
      <c r="N315" t="s">
        <v>65</v>
      </c>
      <c r="O315">
        <v>0</v>
      </c>
      <c r="P315">
        <v>1</v>
      </c>
      <c r="Q315">
        <v>1</v>
      </c>
      <c r="R315" t="s">
        <v>60</v>
      </c>
      <c r="S315">
        <v>0</v>
      </c>
      <c r="T315">
        <v>1</v>
      </c>
      <c r="U315">
        <v>1</v>
      </c>
      <c r="V315" t="s">
        <v>53</v>
      </c>
      <c r="W315">
        <v>0</v>
      </c>
      <c r="X315">
        <v>1</v>
      </c>
      <c r="Y315" t="s">
        <v>53</v>
      </c>
      <c r="Z315">
        <v>0</v>
      </c>
      <c r="AA315">
        <v>1</v>
      </c>
      <c r="AB315" t="s">
        <v>359</v>
      </c>
      <c r="AC315" t="s">
        <v>131</v>
      </c>
      <c r="AE315">
        <v>1</v>
      </c>
      <c r="AF315">
        <v>1</v>
      </c>
    </row>
    <row r="316" spans="1:32" x14ac:dyDescent="0.2">
      <c r="A316" t="s">
        <v>92</v>
      </c>
      <c r="B316" t="s">
        <v>356</v>
      </c>
      <c r="C316" t="s">
        <v>357</v>
      </c>
      <c r="D316" t="s">
        <v>95</v>
      </c>
      <c r="E316" t="s">
        <v>96</v>
      </c>
      <c r="F316" t="s">
        <v>379</v>
      </c>
      <c r="G316">
        <v>42</v>
      </c>
      <c r="H316" t="s">
        <v>56</v>
      </c>
      <c r="I316" t="s">
        <v>64</v>
      </c>
      <c r="J316" t="s">
        <v>144</v>
      </c>
      <c r="K316">
        <v>0</v>
      </c>
      <c r="L316">
        <v>1</v>
      </c>
      <c r="M316">
        <v>1</v>
      </c>
      <c r="N316" t="s">
        <v>50</v>
      </c>
      <c r="O316">
        <v>0</v>
      </c>
      <c r="P316">
        <v>0</v>
      </c>
      <c r="Q316">
        <v>1</v>
      </c>
      <c r="R316" t="s">
        <v>62</v>
      </c>
      <c r="S316">
        <v>1</v>
      </c>
      <c r="T316">
        <v>0</v>
      </c>
      <c r="U316">
        <v>1</v>
      </c>
      <c r="V316" t="s">
        <v>52</v>
      </c>
      <c r="W316">
        <v>1</v>
      </c>
      <c r="X316">
        <v>1</v>
      </c>
      <c r="Y316" t="s">
        <v>52</v>
      </c>
      <c r="Z316">
        <v>1</v>
      </c>
      <c r="AA316">
        <v>1</v>
      </c>
      <c r="AB316" t="s">
        <v>359</v>
      </c>
      <c r="AC316" t="s">
        <v>98</v>
      </c>
      <c r="AD316" t="s">
        <v>98</v>
      </c>
      <c r="AE316">
        <v>1</v>
      </c>
      <c r="AF316">
        <v>1</v>
      </c>
    </row>
    <row r="317" spans="1:32" x14ac:dyDescent="0.2">
      <c r="A317" t="s">
        <v>92</v>
      </c>
      <c r="B317" t="s">
        <v>356</v>
      </c>
      <c r="C317" t="s">
        <v>357</v>
      </c>
      <c r="D317" t="s">
        <v>95</v>
      </c>
      <c r="E317" t="s">
        <v>96</v>
      </c>
      <c r="F317" t="s">
        <v>380</v>
      </c>
      <c r="G317">
        <v>37</v>
      </c>
      <c r="H317" t="s">
        <v>48</v>
      </c>
      <c r="I317" t="s">
        <v>64</v>
      </c>
      <c r="J317" t="s">
        <v>50</v>
      </c>
      <c r="K317">
        <v>0</v>
      </c>
      <c r="L317">
        <v>0</v>
      </c>
      <c r="M317">
        <v>1</v>
      </c>
      <c r="N317" t="s">
        <v>50</v>
      </c>
      <c r="O317">
        <v>0</v>
      </c>
      <c r="P317">
        <v>0</v>
      </c>
      <c r="Q317">
        <v>1</v>
      </c>
      <c r="R317" t="s">
        <v>62</v>
      </c>
      <c r="S317">
        <v>1</v>
      </c>
      <c r="T317">
        <v>0</v>
      </c>
      <c r="U317">
        <v>1</v>
      </c>
      <c r="V317" t="s">
        <v>53</v>
      </c>
      <c r="W317">
        <v>0</v>
      </c>
      <c r="X317">
        <v>1</v>
      </c>
      <c r="Y317" t="s">
        <v>53</v>
      </c>
      <c r="Z317">
        <v>0</v>
      </c>
      <c r="AA317">
        <v>1</v>
      </c>
      <c r="AB317" t="s">
        <v>359</v>
      </c>
      <c r="AC317" t="s">
        <v>98</v>
      </c>
      <c r="AD317" t="s">
        <v>98</v>
      </c>
      <c r="AE317">
        <v>1</v>
      </c>
      <c r="AF317">
        <v>1</v>
      </c>
    </row>
    <row r="318" spans="1:32" x14ac:dyDescent="0.2">
      <c r="A318" t="s">
        <v>92</v>
      </c>
      <c r="B318" t="s">
        <v>356</v>
      </c>
      <c r="C318" t="s">
        <v>357</v>
      </c>
      <c r="D318" t="s">
        <v>95</v>
      </c>
      <c r="E318" t="s">
        <v>96</v>
      </c>
      <c r="F318" t="s">
        <v>381</v>
      </c>
      <c r="G318">
        <v>33</v>
      </c>
      <c r="H318" t="s">
        <v>56</v>
      </c>
      <c r="I318" t="s">
        <v>49</v>
      </c>
      <c r="J318" t="s">
        <v>50</v>
      </c>
      <c r="K318">
        <v>0</v>
      </c>
      <c r="L318">
        <v>0</v>
      </c>
      <c r="M318">
        <v>1</v>
      </c>
      <c r="N318" t="s">
        <v>50</v>
      </c>
      <c r="O318">
        <v>0</v>
      </c>
      <c r="P318">
        <v>0</v>
      </c>
      <c r="Q318">
        <v>1</v>
      </c>
      <c r="R318" t="s">
        <v>62</v>
      </c>
      <c r="S318">
        <v>1</v>
      </c>
      <c r="T318">
        <v>0</v>
      </c>
      <c r="U318">
        <v>1</v>
      </c>
      <c r="V318" t="s">
        <v>52</v>
      </c>
      <c r="W318">
        <v>1</v>
      </c>
      <c r="X318">
        <v>1</v>
      </c>
      <c r="Y318" t="s">
        <v>53</v>
      </c>
      <c r="Z318">
        <v>0</v>
      </c>
      <c r="AA318">
        <v>1</v>
      </c>
      <c r="AB318" t="s">
        <v>359</v>
      </c>
      <c r="AC318" t="s">
        <v>131</v>
      </c>
      <c r="AD318" t="s">
        <v>98</v>
      </c>
      <c r="AE318">
        <v>1</v>
      </c>
      <c r="AF318">
        <v>1</v>
      </c>
    </row>
    <row r="319" spans="1:32" x14ac:dyDescent="0.2">
      <c r="A319" t="s">
        <v>92</v>
      </c>
      <c r="B319" t="s">
        <v>356</v>
      </c>
      <c r="C319" t="s">
        <v>357</v>
      </c>
      <c r="D319" t="s">
        <v>95</v>
      </c>
      <c r="E319" t="s">
        <v>96</v>
      </c>
      <c r="F319" t="s">
        <v>382</v>
      </c>
      <c r="G319">
        <v>37</v>
      </c>
      <c r="H319" t="s">
        <v>56</v>
      </c>
      <c r="I319" t="s">
        <v>64</v>
      </c>
      <c r="J319" t="s">
        <v>144</v>
      </c>
      <c r="K319">
        <v>0</v>
      </c>
      <c r="L319">
        <v>1</v>
      </c>
      <c r="M319">
        <v>1</v>
      </c>
      <c r="N319" t="s">
        <v>65</v>
      </c>
      <c r="O319">
        <v>0</v>
      </c>
      <c r="P319">
        <v>1</v>
      </c>
      <c r="Q319">
        <v>1</v>
      </c>
      <c r="R319" t="s">
        <v>60</v>
      </c>
      <c r="S319">
        <v>0</v>
      </c>
      <c r="T319">
        <v>1</v>
      </c>
      <c r="U319">
        <v>1</v>
      </c>
      <c r="V319" t="s">
        <v>53</v>
      </c>
      <c r="W319">
        <v>0</v>
      </c>
      <c r="X319">
        <v>1</v>
      </c>
      <c r="Y319" t="s">
        <v>52</v>
      </c>
      <c r="Z319">
        <v>1</v>
      </c>
      <c r="AA319">
        <v>1</v>
      </c>
      <c r="AB319" t="s">
        <v>359</v>
      </c>
      <c r="AC319" t="s">
        <v>98</v>
      </c>
      <c r="AD319" t="s">
        <v>98</v>
      </c>
      <c r="AE319">
        <v>1</v>
      </c>
      <c r="AF319">
        <v>1</v>
      </c>
    </row>
    <row r="320" spans="1:32" x14ac:dyDescent="0.2">
      <c r="A320" t="s">
        <v>92</v>
      </c>
      <c r="B320" t="s">
        <v>356</v>
      </c>
      <c r="C320" t="s">
        <v>357</v>
      </c>
      <c r="D320" t="s">
        <v>95</v>
      </c>
      <c r="E320" t="s">
        <v>96</v>
      </c>
      <c r="F320" t="s">
        <v>383</v>
      </c>
      <c r="G320">
        <v>31</v>
      </c>
      <c r="H320" t="s">
        <v>56</v>
      </c>
      <c r="I320" t="s">
        <v>49</v>
      </c>
      <c r="J320" t="s">
        <v>50</v>
      </c>
      <c r="K320">
        <v>0</v>
      </c>
      <c r="L320">
        <v>0</v>
      </c>
      <c r="M320">
        <v>1</v>
      </c>
      <c r="N320" t="s">
        <v>50</v>
      </c>
      <c r="O320">
        <v>0</v>
      </c>
      <c r="P320">
        <v>0</v>
      </c>
      <c r="Q320">
        <v>1</v>
      </c>
      <c r="R320" t="s">
        <v>51</v>
      </c>
      <c r="S320">
        <v>0</v>
      </c>
      <c r="T320">
        <v>0</v>
      </c>
      <c r="U320">
        <v>1</v>
      </c>
      <c r="V320" t="s">
        <v>53</v>
      </c>
      <c r="W320">
        <v>0</v>
      </c>
      <c r="X320">
        <v>1</v>
      </c>
      <c r="Y320" t="s">
        <v>53</v>
      </c>
      <c r="Z320">
        <v>0</v>
      </c>
      <c r="AA320">
        <v>1</v>
      </c>
      <c r="AB320" t="s">
        <v>359</v>
      </c>
      <c r="AC320" t="s">
        <v>98</v>
      </c>
      <c r="AD320" t="s">
        <v>98</v>
      </c>
      <c r="AE320">
        <v>1</v>
      </c>
      <c r="AF320">
        <v>1</v>
      </c>
    </row>
    <row r="321" spans="1:32" x14ac:dyDescent="0.2">
      <c r="A321" t="s">
        <v>92</v>
      </c>
      <c r="B321" t="s">
        <v>356</v>
      </c>
      <c r="C321" t="s">
        <v>357</v>
      </c>
      <c r="D321" t="s">
        <v>95</v>
      </c>
      <c r="E321" t="s">
        <v>96</v>
      </c>
      <c r="F321" t="s">
        <v>384</v>
      </c>
      <c r="G321">
        <v>36</v>
      </c>
      <c r="H321" t="s">
        <v>48</v>
      </c>
      <c r="I321" t="s">
        <v>64</v>
      </c>
      <c r="J321" t="s">
        <v>50</v>
      </c>
      <c r="K321">
        <v>0</v>
      </c>
      <c r="L321">
        <v>0</v>
      </c>
      <c r="M321">
        <v>1</v>
      </c>
      <c r="N321" t="s">
        <v>65</v>
      </c>
      <c r="O321">
        <v>0</v>
      </c>
      <c r="P321">
        <v>1</v>
      </c>
      <c r="Q321">
        <v>1</v>
      </c>
      <c r="R321" t="s">
        <v>62</v>
      </c>
      <c r="S321">
        <v>1</v>
      </c>
      <c r="T321">
        <v>0</v>
      </c>
      <c r="U321">
        <v>1</v>
      </c>
      <c r="V321" t="s">
        <v>52</v>
      </c>
      <c r="W321">
        <v>1</v>
      </c>
      <c r="X321">
        <v>1</v>
      </c>
      <c r="Y321" t="s">
        <v>52</v>
      </c>
      <c r="Z321">
        <v>1</v>
      </c>
      <c r="AA321">
        <v>1</v>
      </c>
      <c r="AB321" t="s">
        <v>359</v>
      </c>
      <c r="AC321" t="s">
        <v>98</v>
      </c>
      <c r="AD321" t="s">
        <v>98</v>
      </c>
      <c r="AE321">
        <v>1</v>
      </c>
      <c r="AF321">
        <v>1</v>
      </c>
    </row>
    <row r="322" spans="1:32" x14ac:dyDescent="0.2">
      <c r="A322" t="s">
        <v>92</v>
      </c>
      <c r="B322" t="s">
        <v>356</v>
      </c>
      <c r="C322" t="s">
        <v>357</v>
      </c>
      <c r="D322" t="s">
        <v>95</v>
      </c>
      <c r="E322" t="s">
        <v>96</v>
      </c>
      <c r="F322" t="s">
        <v>385</v>
      </c>
      <c r="G322">
        <v>45</v>
      </c>
      <c r="H322" t="s">
        <v>48</v>
      </c>
      <c r="I322" t="s">
        <v>64</v>
      </c>
      <c r="J322" t="s">
        <v>50</v>
      </c>
      <c r="K322">
        <v>0</v>
      </c>
      <c r="L322">
        <v>0</v>
      </c>
      <c r="M322">
        <v>1</v>
      </c>
      <c r="N322" t="s">
        <v>65</v>
      </c>
      <c r="O322">
        <v>0</v>
      </c>
      <c r="P322">
        <v>1</v>
      </c>
      <c r="Q322">
        <v>1</v>
      </c>
      <c r="R322" t="s">
        <v>60</v>
      </c>
      <c r="S322">
        <v>0</v>
      </c>
      <c r="T322">
        <v>1</v>
      </c>
      <c r="U322">
        <v>1</v>
      </c>
      <c r="V322" t="s">
        <v>53</v>
      </c>
      <c r="W322">
        <v>0</v>
      </c>
      <c r="X322">
        <v>1</v>
      </c>
      <c r="Y322" t="s">
        <v>53</v>
      </c>
      <c r="Z322">
        <v>0</v>
      </c>
      <c r="AA322">
        <v>1</v>
      </c>
      <c r="AB322" t="s">
        <v>359</v>
      </c>
      <c r="AC322" t="s">
        <v>98</v>
      </c>
      <c r="AD322" t="s">
        <v>98</v>
      </c>
      <c r="AE322">
        <v>1</v>
      </c>
      <c r="AF322">
        <v>1</v>
      </c>
    </row>
    <row r="323" spans="1:32" x14ac:dyDescent="0.2">
      <c r="A323" t="s">
        <v>92</v>
      </c>
      <c r="B323" t="s">
        <v>356</v>
      </c>
      <c r="C323" t="s">
        <v>357</v>
      </c>
      <c r="D323" t="s">
        <v>95</v>
      </c>
      <c r="E323" t="s">
        <v>96</v>
      </c>
      <c r="F323" t="s">
        <v>386</v>
      </c>
      <c r="G323">
        <v>38</v>
      </c>
      <c r="H323" t="s">
        <v>48</v>
      </c>
      <c r="I323" t="s">
        <v>64</v>
      </c>
      <c r="J323" t="s">
        <v>144</v>
      </c>
      <c r="K323">
        <v>0</v>
      </c>
      <c r="L323">
        <v>1</v>
      </c>
      <c r="M323">
        <v>1</v>
      </c>
      <c r="N323" t="s">
        <v>65</v>
      </c>
      <c r="O323">
        <v>0</v>
      </c>
      <c r="P323">
        <v>1</v>
      </c>
      <c r="Q323">
        <v>1</v>
      </c>
      <c r="R323" t="s">
        <v>62</v>
      </c>
      <c r="S323">
        <v>1</v>
      </c>
      <c r="T323">
        <v>0</v>
      </c>
      <c r="U323">
        <v>1</v>
      </c>
      <c r="V323" t="s">
        <v>53</v>
      </c>
      <c r="W323">
        <v>0</v>
      </c>
      <c r="X323">
        <v>1</v>
      </c>
      <c r="Y323" t="s">
        <v>53</v>
      </c>
      <c r="Z323">
        <v>0</v>
      </c>
      <c r="AA323">
        <v>1</v>
      </c>
      <c r="AB323" t="s">
        <v>359</v>
      </c>
      <c r="AC323" t="s">
        <v>98</v>
      </c>
      <c r="AD323" t="s">
        <v>98</v>
      </c>
      <c r="AE323">
        <v>1</v>
      </c>
      <c r="AF323">
        <v>1</v>
      </c>
    </row>
    <row r="324" spans="1:32" x14ac:dyDescent="0.2">
      <c r="A324" t="s">
        <v>92</v>
      </c>
      <c r="B324" t="s">
        <v>356</v>
      </c>
      <c r="C324" t="s">
        <v>357</v>
      </c>
      <c r="D324" t="s">
        <v>95</v>
      </c>
      <c r="E324" t="s">
        <v>96</v>
      </c>
      <c r="F324" t="s">
        <v>387</v>
      </c>
      <c r="G324">
        <v>55</v>
      </c>
      <c r="H324" t="s">
        <v>48</v>
      </c>
      <c r="I324" t="s">
        <v>70</v>
      </c>
      <c r="J324" t="s">
        <v>144</v>
      </c>
      <c r="K324">
        <v>0</v>
      </c>
      <c r="L324">
        <v>1</v>
      </c>
      <c r="M324">
        <v>1</v>
      </c>
      <c r="N324" t="s">
        <v>65</v>
      </c>
      <c r="O324">
        <v>0</v>
      </c>
      <c r="P324">
        <v>1</v>
      </c>
      <c r="Q324">
        <v>1</v>
      </c>
      <c r="R324" t="s">
        <v>60</v>
      </c>
      <c r="S324">
        <v>0</v>
      </c>
      <c r="T324">
        <v>1</v>
      </c>
      <c r="U324">
        <v>1</v>
      </c>
      <c r="V324" t="s">
        <v>53</v>
      </c>
      <c r="W324">
        <v>0</v>
      </c>
      <c r="X324">
        <v>1</v>
      </c>
      <c r="Y324" t="s">
        <v>53</v>
      </c>
      <c r="Z324">
        <v>0</v>
      </c>
      <c r="AA324">
        <v>1</v>
      </c>
      <c r="AB324" t="s">
        <v>359</v>
      </c>
      <c r="AC324" t="s">
        <v>131</v>
      </c>
      <c r="AD324" t="s">
        <v>98</v>
      </c>
      <c r="AE324">
        <v>1</v>
      </c>
      <c r="AF324">
        <v>1</v>
      </c>
    </row>
    <row r="325" spans="1:32" x14ac:dyDescent="0.2">
      <c r="A325" t="s">
        <v>92</v>
      </c>
      <c r="B325" t="s">
        <v>356</v>
      </c>
      <c r="C325" t="s">
        <v>357</v>
      </c>
      <c r="D325" t="s">
        <v>95</v>
      </c>
      <c r="E325" t="s">
        <v>96</v>
      </c>
      <c r="F325" t="s">
        <v>388</v>
      </c>
      <c r="G325">
        <v>35</v>
      </c>
      <c r="H325" t="s">
        <v>56</v>
      </c>
      <c r="I325" t="s">
        <v>49</v>
      </c>
      <c r="J325" t="s">
        <v>50</v>
      </c>
      <c r="K325">
        <v>0</v>
      </c>
      <c r="L325">
        <v>0</v>
      </c>
      <c r="M325">
        <v>1</v>
      </c>
      <c r="N325" t="s">
        <v>73</v>
      </c>
      <c r="O325">
        <v>1</v>
      </c>
      <c r="P325">
        <v>0</v>
      </c>
      <c r="Q325">
        <v>1</v>
      </c>
      <c r="R325" t="s">
        <v>51</v>
      </c>
      <c r="S325">
        <v>0</v>
      </c>
      <c r="T325">
        <v>0</v>
      </c>
      <c r="U325">
        <v>1</v>
      </c>
      <c r="V325" t="s">
        <v>53</v>
      </c>
      <c r="W325">
        <v>0</v>
      </c>
      <c r="X325">
        <v>1</v>
      </c>
      <c r="Y325" t="s">
        <v>52</v>
      </c>
      <c r="Z325">
        <v>1</v>
      </c>
      <c r="AA325">
        <v>1</v>
      </c>
      <c r="AB325" t="s">
        <v>359</v>
      </c>
      <c r="AC325" t="s">
        <v>98</v>
      </c>
      <c r="AD325" t="s">
        <v>98</v>
      </c>
      <c r="AE325">
        <v>1</v>
      </c>
      <c r="AF325">
        <v>1</v>
      </c>
    </row>
    <row r="326" spans="1:32" x14ac:dyDescent="0.2">
      <c r="A326" t="s">
        <v>92</v>
      </c>
      <c r="B326" t="s">
        <v>356</v>
      </c>
      <c r="C326" t="s">
        <v>357</v>
      </c>
      <c r="D326" t="s">
        <v>95</v>
      </c>
      <c r="E326" t="s">
        <v>96</v>
      </c>
      <c r="F326" t="s">
        <v>389</v>
      </c>
      <c r="G326">
        <v>58</v>
      </c>
      <c r="H326" t="s">
        <v>56</v>
      </c>
      <c r="I326" t="s">
        <v>85</v>
      </c>
      <c r="J326" t="s">
        <v>144</v>
      </c>
      <c r="K326">
        <v>0</v>
      </c>
      <c r="L326">
        <v>1</v>
      </c>
      <c r="M326">
        <v>1</v>
      </c>
      <c r="N326" t="s">
        <v>65</v>
      </c>
      <c r="O326">
        <v>0</v>
      </c>
      <c r="P326">
        <v>1</v>
      </c>
      <c r="Q326">
        <v>1</v>
      </c>
      <c r="R326" t="s">
        <v>62</v>
      </c>
      <c r="S326">
        <v>1</v>
      </c>
      <c r="T326">
        <v>0</v>
      </c>
      <c r="U326">
        <v>1</v>
      </c>
      <c r="V326" t="s">
        <v>53</v>
      </c>
      <c r="W326">
        <v>0</v>
      </c>
      <c r="X326">
        <v>1</v>
      </c>
      <c r="Y326" t="s">
        <v>52</v>
      </c>
      <c r="Z326">
        <v>1</v>
      </c>
      <c r="AA326">
        <v>1</v>
      </c>
      <c r="AB326" t="s">
        <v>359</v>
      </c>
      <c r="AC326" t="s">
        <v>98</v>
      </c>
      <c r="AD326" t="s">
        <v>98</v>
      </c>
      <c r="AE326">
        <v>1</v>
      </c>
      <c r="AF326">
        <v>1</v>
      </c>
    </row>
    <row r="327" spans="1:32" x14ac:dyDescent="0.2">
      <c r="A327" t="s">
        <v>92</v>
      </c>
      <c r="B327" t="s">
        <v>356</v>
      </c>
      <c r="C327" t="s">
        <v>357</v>
      </c>
      <c r="D327" t="s">
        <v>95</v>
      </c>
      <c r="E327" t="s">
        <v>96</v>
      </c>
      <c r="F327" t="s">
        <v>390</v>
      </c>
      <c r="G327">
        <v>34</v>
      </c>
      <c r="H327" t="s">
        <v>56</v>
      </c>
      <c r="I327" t="s">
        <v>49</v>
      </c>
      <c r="J327" t="s">
        <v>50</v>
      </c>
      <c r="K327">
        <v>0</v>
      </c>
      <c r="L327">
        <v>0</v>
      </c>
      <c r="M327">
        <v>1</v>
      </c>
      <c r="N327" t="s">
        <v>65</v>
      </c>
      <c r="O327">
        <v>0</v>
      </c>
      <c r="P327">
        <v>1</v>
      </c>
      <c r="Q327">
        <v>1</v>
      </c>
      <c r="R327" t="s">
        <v>62</v>
      </c>
      <c r="S327">
        <v>1</v>
      </c>
      <c r="T327">
        <v>0</v>
      </c>
      <c r="U327">
        <v>1</v>
      </c>
      <c r="V327" t="s">
        <v>53</v>
      </c>
      <c r="W327">
        <v>0</v>
      </c>
      <c r="X327">
        <v>1</v>
      </c>
      <c r="Y327" t="s">
        <v>52</v>
      </c>
      <c r="Z327">
        <v>1</v>
      </c>
      <c r="AA327">
        <v>1</v>
      </c>
      <c r="AB327" t="s">
        <v>359</v>
      </c>
      <c r="AC327" t="s">
        <v>98</v>
      </c>
      <c r="AD327" t="s">
        <v>98</v>
      </c>
      <c r="AE327">
        <v>1</v>
      </c>
      <c r="AF327">
        <v>1</v>
      </c>
    </row>
    <row r="328" spans="1:32" x14ac:dyDescent="0.2">
      <c r="A328" t="s">
        <v>92</v>
      </c>
      <c r="B328" t="s">
        <v>356</v>
      </c>
      <c r="C328" t="s">
        <v>357</v>
      </c>
      <c r="D328" t="s">
        <v>112</v>
      </c>
      <c r="E328" t="s">
        <v>113</v>
      </c>
      <c r="F328" t="s">
        <v>391</v>
      </c>
      <c r="G328">
        <v>40</v>
      </c>
      <c r="H328" t="s">
        <v>48</v>
      </c>
      <c r="I328" t="s">
        <v>64</v>
      </c>
      <c r="J328" t="s">
        <v>50</v>
      </c>
      <c r="K328">
        <v>0</v>
      </c>
      <c r="L328">
        <v>0</v>
      </c>
      <c r="M328">
        <v>1</v>
      </c>
      <c r="N328" t="s">
        <v>65</v>
      </c>
      <c r="O328">
        <v>0</v>
      </c>
      <c r="P328">
        <v>1</v>
      </c>
      <c r="Q328">
        <v>1</v>
      </c>
      <c r="R328" t="s">
        <v>51</v>
      </c>
      <c r="S328">
        <v>0</v>
      </c>
      <c r="T328">
        <v>0</v>
      </c>
      <c r="U328">
        <v>1</v>
      </c>
      <c r="V328" t="s">
        <v>53</v>
      </c>
      <c r="W328">
        <v>0</v>
      </c>
      <c r="X328">
        <v>1</v>
      </c>
      <c r="Y328" t="s">
        <v>53</v>
      </c>
      <c r="Z328">
        <v>0</v>
      </c>
      <c r="AA328">
        <v>1</v>
      </c>
      <c r="AB328" t="s">
        <v>359</v>
      </c>
      <c r="AC328" t="s">
        <v>98</v>
      </c>
      <c r="AD328" t="s">
        <v>98</v>
      </c>
      <c r="AE328">
        <v>1</v>
      </c>
      <c r="AF328">
        <v>1</v>
      </c>
    </row>
    <row r="329" spans="1:32" x14ac:dyDescent="0.2">
      <c r="A329" t="s">
        <v>92</v>
      </c>
      <c r="B329" t="s">
        <v>356</v>
      </c>
      <c r="C329" t="s">
        <v>357</v>
      </c>
      <c r="D329" t="s">
        <v>95</v>
      </c>
      <c r="E329" t="s">
        <v>96</v>
      </c>
      <c r="F329" t="s">
        <v>392</v>
      </c>
      <c r="G329">
        <v>40</v>
      </c>
      <c r="H329" t="s">
        <v>48</v>
      </c>
      <c r="I329" t="s">
        <v>64</v>
      </c>
      <c r="J329" t="s">
        <v>144</v>
      </c>
      <c r="K329">
        <v>0</v>
      </c>
      <c r="L329">
        <v>1</v>
      </c>
      <c r="M329">
        <v>1</v>
      </c>
      <c r="N329" t="s">
        <v>65</v>
      </c>
      <c r="O329">
        <v>0</v>
      </c>
      <c r="P329">
        <v>1</v>
      </c>
      <c r="Q329">
        <v>1</v>
      </c>
      <c r="R329" t="s">
        <v>60</v>
      </c>
      <c r="S329">
        <v>0</v>
      </c>
      <c r="T329">
        <v>1</v>
      </c>
      <c r="U329">
        <v>1</v>
      </c>
      <c r="V329" t="s">
        <v>52</v>
      </c>
      <c r="W329">
        <v>1</v>
      </c>
      <c r="X329">
        <v>1</v>
      </c>
      <c r="Y329" t="s">
        <v>52</v>
      </c>
      <c r="Z329">
        <v>1</v>
      </c>
      <c r="AA329">
        <v>1</v>
      </c>
      <c r="AB329" t="s">
        <v>359</v>
      </c>
      <c r="AC329" t="s">
        <v>131</v>
      </c>
      <c r="AD329" t="s">
        <v>98</v>
      </c>
      <c r="AE329">
        <v>1</v>
      </c>
      <c r="AF329">
        <v>1</v>
      </c>
    </row>
    <row r="330" spans="1:32" x14ac:dyDescent="0.2">
      <c r="A330" t="s">
        <v>92</v>
      </c>
      <c r="B330" t="s">
        <v>356</v>
      </c>
      <c r="C330" t="s">
        <v>357</v>
      </c>
      <c r="D330" t="s">
        <v>112</v>
      </c>
      <c r="E330" t="s">
        <v>113</v>
      </c>
      <c r="F330" t="s">
        <v>393</v>
      </c>
      <c r="G330">
        <v>43</v>
      </c>
      <c r="H330" t="s">
        <v>48</v>
      </c>
      <c r="I330" t="s">
        <v>64</v>
      </c>
      <c r="J330" t="s">
        <v>59</v>
      </c>
      <c r="K330">
        <v>1</v>
      </c>
      <c r="L330">
        <v>0</v>
      </c>
      <c r="M330">
        <v>1</v>
      </c>
      <c r="N330" t="s">
        <v>65</v>
      </c>
      <c r="O330">
        <v>0</v>
      </c>
      <c r="P330">
        <v>1</v>
      </c>
      <c r="Q330">
        <v>1</v>
      </c>
      <c r="R330" t="s">
        <v>62</v>
      </c>
      <c r="S330">
        <v>1</v>
      </c>
      <c r="T330">
        <v>0</v>
      </c>
      <c r="U330">
        <v>1</v>
      </c>
      <c r="V330" t="s">
        <v>53</v>
      </c>
      <c r="W330">
        <v>0</v>
      </c>
      <c r="X330">
        <v>1</v>
      </c>
      <c r="Y330" t="s">
        <v>52</v>
      </c>
      <c r="Z330">
        <v>1</v>
      </c>
      <c r="AA330">
        <v>1</v>
      </c>
      <c r="AB330" t="s">
        <v>359</v>
      </c>
      <c r="AC330" t="s">
        <v>98</v>
      </c>
      <c r="AD330" t="s">
        <v>98</v>
      </c>
      <c r="AE330">
        <v>1</v>
      </c>
      <c r="AF330">
        <v>1</v>
      </c>
    </row>
    <row r="331" spans="1:32" x14ac:dyDescent="0.2">
      <c r="A331" t="s">
        <v>92</v>
      </c>
      <c r="B331" t="s">
        <v>356</v>
      </c>
      <c r="C331" t="s">
        <v>357</v>
      </c>
      <c r="D331" t="s">
        <v>112</v>
      </c>
      <c r="E331" t="s">
        <v>113</v>
      </c>
      <c r="F331" t="s">
        <v>394</v>
      </c>
      <c r="G331">
        <v>34</v>
      </c>
      <c r="H331" t="s">
        <v>48</v>
      </c>
      <c r="I331" t="s">
        <v>49</v>
      </c>
      <c r="J331" t="s">
        <v>144</v>
      </c>
      <c r="K331">
        <v>0</v>
      </c>
      <c r="L331">
        <v>1</v>
      </c>
      <c r="M331">
        <v>1</v>
      </c>
      <c r="N331" t="s">
        <v>65</v>
      </c>
      <c r="O331">
        <v>0</v>
      </c>
      <c r="P331">
        <v>1</v>
      </c>
      <c r="Q331">
        <v>1</v>
      </c>
      <c r="R331" t="s">
        <v>51</v>
      </c>
      <c r="S331">
        <v>0</v>
      </c>
      <c r="T331">
        <v>0</v>
      </c>
      <c r="U331">
        <v>1</v>
      </c>
      <c r="V331" t="s">
        <v>53</v>
      </c>
      <c r="W331">
        <v>0</v>
      </c>
      <c r="X331">
        <v>1</v>
      </c>
      <c r="Y331" t="s">
        <v>52</v>
      </c>
      <c r="Z331">
        <v>1</v>
      </c>
      <c r="AA331">
        <v>1</v>
      </c>
      <c r="AB331" t="s">
        <v>359</v>
      </c>
      <c r="AC331" t="s">
        <v>98</v>
      </c>
      <c r="AD331" t="s">
        <v>98</v>
      </c>
      <c r="AE331">
        <v>1</v>
      </c>
      <c r="AF331">
        <v>1</v>
      </c>
    </row>
    <row r="332" spans="1:32" x14ac:dyDescent="0.2">
      <c r="A332" t="s">
        <v>92</v>
      </c>
      <c r="B332" t="s">
        <v>356</v>
      </c>
      <c r="C332" t="s">
        <v>357</v>
      </c>
      <c r="D332" t="s">
        <v>95</v>
      </c>
      <c r="E332" t="s">
        <v>96</v>
      </c>
      <c r="F332" t="s">
        <v>395</v>
      </c>
      <c r="G332">
        <v>43</v>
      </c>
      <c r="H332" t="s">
        <v>48</v>
      </c>
      <c r="I332" t="s">
        <v>64</v>
      </c>
      <c r="J332" t="s">
        <v>50</v>
      </c>
      <c r="K332">
        <v>0</v>
      </c>
      <c r="L332">
        <v>0</v>
      </c>
      <c r="M332">
        <v>1</v>
      </c>
      <c r="N332" t="s">
        <v>73</v>
      </c>
      <c r="O332">
        <v>1</v>
      </c>
      <c r="P332">
        <v>0</v>
      </c>
      <c r="Q332">
        <v>1</v>
      </c>
      <c r="R332" t="s">
        <v>62</v>
      </c>
      <c r="S332">
        <v>1</v>
      </c>
      <c r="T332">
        <v>0</v>
      </c>
      <c r="U332">
        <v>1</v>
      </c>
      <c r="V332" t="s">
        <v>53</v>
      </c>
      <c r="W332">
        <v>0</v>
      </c>
      <c r="X332">
        <v>1</v>
      </c>
      <c r="Y332" t="s">
        <v>52</v>
      </c>
      <c r="Z332">
        <v>1</v>
      </c>
      <c r="AA332">
        <v>1</v>
      </c>
      <c r="AB332" t="s">
        <v>359</v>
      </c>
      <c r="AC332" t="s">
        <v>98</v>
      </c>
      <c r="AD332" t="s">
        <v>98</v>
      </c>
      <c r="AE332">
        <v>1</v>
      </c>
      <c r="AF332">
        <v>1</v>
      </c>
    </row>
    <row r="333" spans="1:32" x14ac:dyDescent="0.2">
      <c r="A333" t="s">
        <v>92</v>
      </c>
      <c r="B333" t="s">
        <v>356</v>
      </c>
      <c r="C333" t="s">
        <v>357</v>
      </c>
      <c r="D333" t="s">
        <v>95</v>
      </c>
      <c r="E333" t="s">
        <v>96</v>
      </c>
      <c r="F333" t="s">
        <v>396</v>
      </c>
      <c r="G333">
        <v>46</v>
      </c>
      <c r="H333" t="s">
        <v>48</v>
      </c>
      <c r="I333" t="s">
        <v>70</v>
      </c>
      <c r="J333" t="s">
        <v>50</v>
      </c>
      <c r="K333">
        <v>0</v>
      </c>
      <c r="L333">
        <v>0</v>
      </c>
      <c r="M333">
        <v>1</v>
      </c>
      <c r="N333" t="s">
        <v>65</v>
      </c>
      <c r="O333">
        <v>0</v>
      </c>
      <c r="P333">
        <v>1</v>
      </c>
      <c r="Q333">
        <v>1</v>
      </c>
      <c r="R333" t="s">
        <v>60</v>
      </c>
      <c r="S333">
        <v>0</v>
      </c>
      <c r="T333">
        <v>1</v>
      </c>
      <c r="U333">
        <v>1</v>
      </c>
      <c r="V333" t="s">
        <v>52</v>
      </c>
      <c r="W333">
        <v>1</v>
      </c>
      <c r="X333">
        <v>1</v>
      </c>
      <c r="Y333" t="s">
        <v>52</v>
      </c>
      <c r="Z333">
        <v>1</v>
      </c>
      <c r="AA333">
        <v>1</v>
      </c>
      <c r="AB333" t="s">
        <v>359</v>
      </c>
      <c r="AC333" t="s">
        <v>98</v>
      </c>
      <c r="AD333" t="s">
        <v>98</v>
      </c>
      <c r="AE333">
        <v>1</v>
      </c>
      <c r="AF333">
        <v>1</v>
      </c>
    </row>
    <row r="334" spans="1:32" x14ac:dyDescent="0.2">
      <c r="A334" t="s">
        <v>92</v>
      </c>
      <c r="B334" t="s">
        <v>356</v>
      </c>
      <c r="C334" t="s">
        <v>357</v>
      </c>
      <c r="D334" t="s">
        <v>95</v>
      </c>
      <c r="E334" t="s">
        <v>96</v>
      </c>
      <c r="F334" t="s">
        <v>397</v>
      </c>
      <c r="G334">
        <v>41</v>
      </c>
      <c r="H334" t="s">
        <v>56</v>
      </c>
      <c r="I334" t="s">
        <v>64</v>
      </c>
      <c r="J334" t="s">
        <v>50</v>
      </c>
      <c r="K334">
        <v>0</v>
      </c>
      <c r="L334">
        <v>0</v>
      </c>
      <c r="M334">
        <v>1</v>
      </c>
      <c r="N334" t="s">
        <v>50</v>
      </c>
      <c r="O334">
        <v>0</v>
      </c>
      <c r="P334">
        <v>0</v>
      </c>
      <c r="Q334">
        <v>1</v>
      </c>
      <c r="R334" t="s">
        <v>62</v>
      </c>
      <c r="S334">
        <v>1</v>
      </c>
      <c r="T334">
        <v>0</v>
      </c>
      <c r="U334">
        <v>1</v>
      </c>
      <c r="V334" t="s">
        <v>52</v>
      </c>
      <c r="W334">
        <v>1</v>
      </c>
      <c r="X334">
        <v>1</v>
      </c>
      <c r="Y334" t="s">
        <v>53</v>
      </c>
      <c r="Z334">
        <v>0</v>
      </c>
      <c r="AA334">
        <v>1</v>
      </c>
      <c r="AB334" t="s">
        <v>359</v>
      </c>
      <c r="AC334" t="s">
        <v>98</v>
      </c>
      <c r="AD334" t="s">
        <v>98</v>
      </c>
      <c r="AE334">
        <v>1</v>
      </c>
      <c r="AF334">
        <v>1</v>
      </c>
    </row>
    <row r="335" spans="1:32" x14ac:dyDescent="0.2">
      <c r="A335" t="s">
        <v>92</v>
      </c>
      <c r="B335" t="s">
        <v>356</v>
      </c>
      <c r="C335" t="s">
        <v>357</v>
      </c>
      <c r="D335" t="s">
        <v>112</v>
      </c>
      <c r="E335" t="s">
        <v>113</v>
      </c>
      <c r="F335" t="s">
        <v>398</v>
      </c>
      <c r="G335">
        <v>45</v>
      </c>
      <c r="H335" t="s">
        <v>48</v>
      </c>
      <c r="I335" t="s">
        <v>64</v>
      </c>
      <c r="J335" t="s">
        <v>144</v>
      </c>
      <c r="K335">
        <v>0</v>
      </c>
      <c r="L335">
        <v>1</v>
      </c>
      <c r="M335">
        <v>1</v>
      </c>
      <c r="N335" t="s">
        <v>65</v>
      </c>
      <c r="O335">
        <v>0</v>
      </c>
      <c r="P335">
        <v>1</v>
      </c>
      <c r="Q335">
        <v>1</v>
      </c>
      <c r="R335" t="s">
        <v>51</v>
      </c>
      <c r="S335">
        <v>0</v>
      </c>
      <c r="T335">
        <v>0</v>
      </c>
      <c r="U335">
        <v>1</v>
      </c>
      <c r="V335" t="s">
        <v>53</v>
      </c>
      <c r="W335">
        <v>0</v>
      </c>
      <c r="X335">
        <v>1</v>
      </c>
      <c r="Y335" t="s">
        <v>52</v>
      </c>
      <c r="Z335">
        <v>1</v>
      </c>
      <c r="AA335">
        <v>1</v>
      </c>
      <c r="AB335" t="s">
        <v>359</v>
      </c>
      <c r="AC335" t="s">
        <v>98</v>
      </c>
      <c r="AD335" t="s">
        <v>98</v>
      </c>
      <c r="AE335">
        <v>1</v>
      </c>
      <c r="AF335">
        <v>1</v>
      </c>
    </row>
    <row r="336" spans="1:32" x14ac:dyDescent="0.2">
      <c r="A336" t="s">
        <v>92</v>
      </c>
      <c r="B336" t="s">
        <v>356</v>
      </c>
      <c r="C336" t="s">
        <v>357</v>
      </c>
      <c r="D336" t="s">
        <v>95</v>
      </c>
      <c r="E336" t="s">
        <v>96</v>
      </c>
      <c r="F336" t="s">
        <v>399</v>
      </c>
      <c r="G336">
        <v>45</v>
      </c>
      <c r="H336" t="s">
        <v>48</v>
      </c>
      <c r="I336" t="s">
        <v>64</v>
      </c>
      <c r="J336" t="s">
        <v>144</v>
      </c>
      <c r="K336">
        <v>0</v>
      </c>
      <c r="L336">
        <v>1</v>
      </c>
      <c r="M336">
        <v>1</v>
      </c>
      <c r="N336" t="s">
        <v>65</v>
      </c>
      <c r="O336">
        <v>0</v>
      </c>
      <c r="P336">
        <v>1</v>
      </c>
      <c r="Q336">
        <v>1</v>
      </c>
      <c r="R336" t="s">
        <v>60</v>
      </c>
      <c r="S336">
        <v>0</v>
      </c>
      <c r="T336">
        <v>1</v>
      </c>
      <c r="U336">
        <v>1</v>
      </c>
      <c r="W336">
        <v>0</v>
      </c>
      <c r="X336">
        <v>0</v>
      </c>
      <c r="Y336" t="s">
        <v>52</v>
      </c>
      <c r="Z336">
        <v>1</v>
      </c>
      <c r="AA336">
        <v>1</v>
      </c>
      <c r="AB336" t="s">
        <v>359</v>
      </c>
      <c r="AC336" t="s">
        <v>98</v>
      </c>
      <c r="AD336" t="s">
        <v>131</v>
      </c>
      <c r="AE336">
        <v>1</v>
      </c>
      <c r="AF336">
        <v>1</v>
      </c>
    </row>
    <row r="337" spans="1:32" x14ac:dyDescent="0.2">
      <c r="A337" t="s">
        <v>92</v>
      </c>
      <c r="B337" t="s">
        <v>356</v>
      </c>
      <c r="C337" t="s">
        <v>357</v>
      </c>
      <c r="D337" t="s">
        <v>95</v>
      </c>
      <c r="E337" t="s">
        <v>96</v>
      </c>
      <c r="F337" t="s">
        <v>400</v>
      </c>
      <c r="G337">
        <v>62</v>
      </c>
      <c r="H337" t="s">
        <v>48</v>
      </c>
      <c r="I337" t="s">
        <v>85</v>
      </c>
      <c r="J337" t="s">
        <v>50</v>
      </c>
      <c r="K337">
        <v>0</v>
      </c>
      <c r="L337">
        <v>0</v>
      </c>
      <c r="M337">
        <v>1</v>
      </c>
      <c r="N337" t="s">
        <v>73</v>
      </c>
      <c r="O337">
        <v>1</v>
      </c>
      <c r="P337">
        <v>0</v>
      </c>
      <c r="Q337">
        <v>1</v>
      </c>
      <c r="R337" t="s">
        <v>62</v>
      </c>
      <c r="S337">
        <v>1</v>
      </c>
      <c r="T337">
        <v>0</v>
      </c>
      <c r="U337">
        <v>1</v>
      </c>
      <c r="W337">
        <v>0</v>
      </c>
      <c r="X337">
        <v>0</v>
      </c>
      <c r="Y337" t="s">
        <v>52</v>
      </c>
      <c r="Z337">
        <v>1</v>
      </c>
      <c r="AA337">
        <v>1</v>
      </c>
      <c r="AB337" t="s">
        <v>359</v>
      </c>
      <c r="AC337" t="s">
        <v>98</v>
      </c>
      <c r="AD337" t="s">
        <v>131</v>
      </c>
      <c r="AE337">
        <v>1</v>
      </c>
      <c r="AF337">
        <v>1</v>
      </c>
    </row>
    <row r="338" spans="1:32" x14ac:dyDescent="0.2">
      <c r="A338" t="s">
        <v>92</v>
      </c>
      <c r="B338" t="s">
        <v>356</v>
      </c>
      <c r="C338" t="s">
        <v>357</v>
      </c>
      <c r="D338" t="s">
        <v>95</v>
      </c>
      <c r="E338" t="s">
        <v>96</v>
      </c>
      <c r="F338" t="s">
        <v>401</v>
      </c>
      <c r="G338">
        <v>36</v>
      </c>
      <c r="H338" t="s">
        <v>56</v>
      </c>
      <c r="I338" t="s">
        <v>64</v>
      </c>
      <c r="J338" t="s">
        <v>144</v>
      </c>
      <c r="K338">
        <v>0</v>
      </c>
      <c r="L338">
        <v>1</v>
      </c>
      <c r="M338">
        <v>1</v>
      </c>
      <c r="N338" t="s">
        <v>50</v>
      </c>
      <c r="O338">
        <v>0</v>
      </c>
      <c r="P338">
        <v>0</v>
      </c>
      <c r="Q338">
        <v>1</v>
      </c>
      <c r="R338" t="s">
        <v>60</v>
      </c>
      <c r="S338">
        <v>0</v>
      </c>
      <c r="T338">
        <v>1</v>
      </c>
      <c r="U338">
        <v>1</v>
      </c>
      <c r="V338" t="s">
        <v>53</v>
      </c>
      <c r="W338">
        <v>0</v>
      </c>
      <c r="X338">
        <v>1</v>
      </c>
      <c r="Y338" t="s">
        <v>53</v>
      </c>
      <c r="Z338">
        <v>0</v>
      </c>
      <c r="AA338">
        <v>1</v>
      </c>
      <c r="AB338" t="s">
        <v>359</v>
      </c>
      <c r="AC338" t="s">
        <v>98</v>
      </c>
      <c r="AD338" t="s">
        <v>98</v>
      </c>
      <c r="AE338">
        <v>1</v>
      </c>
      <c r="AF338">
        <v>1</v>
      </c>
    </row>
    <row r="339" spans="1:32" x14ac:dyDescent="0.2">
      <c r="A339" t="s">
        <v>92</v>
      </c>
      <c r="B339" t="s">
        <v>356</v>
      </c>
      <c r="C339" t="s">
        <v>357</v>
      </c>
      <c r="D339" t="s">
        <v>95</v>
      </c>
      <c r="E339" t="s">
        <v>96</v>
      </c>
      <c r="F339" t="s">
        <v>402</v>
      </c>
      <c r="G339">
        <v>41</v>
      </c>
      <c r="H339" t="s">
        <v>48</v>
      </c>
      <c r="I339" t="s">
        <v>64</v>
      </c>
      <c r="J339" t="s">
        <v>144</v>
      </c>
      <c r="K339">
        <v>0</v>
      </c>
      <c r="L339">
        <v>1</v>
      </c>
      <c r="M339">
        <v>1</v>
      </c>
      <c r="N339" t="s">
        <v>65</v>
      </c>
      <c r="O339">
        <v>0</v>
      </c>
      <c r="P339">
        <v>1</v>
      </c>
      <c r="Q339">
        <v>1</v>
      </c>
      <c r="R339" t="s">
        <v>62</v>
      </c>
      <c r="S339">
        <v>1</v>
      </c>
      <c r="T339">
        <v>0</v>
      </c>
      <c r="U339">
        <v>1</v>
      </c>
      <c r="V339" t="s">
        <v>53</v>
      </c>
      <c r="W339">
        <v>0</v>
      </c>
      <c r="X339">
        <v>1</v>
      </c>
      <c r="Y339" t="s">
        <v>52</v>
      </c>
      <c r="Z339">
        <v>1</v>
      </c>
      <c r="AA339">
        <v>1</v>
      </c>
      <c r="AB339" t="s">
        <v>359</v>
      </c>
      <c r="AC339" t="s">
        <v>98</v>
      </c>
      <c r="AD339" t="s">
        <v>98</v>
      </c>
      <c r="AE339">
        <v>1</v>
      </c>
      <c r="AF339">
        <v>1</v>
      </c>
    </row>
    <row r="340" spans="1:32" x14ac:dyDescent="0.2">
      <c r="A340" t="s">
        <v>92</v>
      </c>
      <c r="B340" t="s">
        <v>356</v>
      </c>
      <c r="C340" t="s">
        <v>357</v>
      </c>
      <c r="D340" t="s">
        <v>95</v>
      </c>
      <c r="E340" t="s">
        <v>96</v>
      </c>
      <c r="F340" t="s">
        <v>403</v>
      </c>
      <c r="G340">
        <v>41</v>
      </c>
      <c r="H340" t="s">
        <v>48</v>
      </c>
      <c r="I340" t="s">
        <v>64</v>
      </c>
      <c r="J340" t="s">
        <v>144</v>
      </c>
      <c r="K340">
        <v>0</v>
      </c>
      <c r="L340">
        <v>1</v>
      </c>
      <c r="M340">
        <v>1</v>
      </c>
      <c r="N340" t="s">
        <v>50</v>
      </c>
      <c r="O340">
        <v>0</v>
      </c>
      <c r="P340">
        <v>0</v>
      </c>
      <c r="Q340">
        <v>1</v>
      </c>
      <c r="R340" t="s">
        <v>62</v>
      </c>
      <c r="S340">
        <v>1</v>
      </c>
      <c r="T340">
        <v>0</v>
      </c>
      <c r="U340">
        <v>1</v>
      </c>
      <c r="V340" t="s">
        <v>53</v>
      </c>
      <c r="W340">
        <v>0</v>
      </c>
      <c r="X340">
        <v>1</v>
      </c>
      <c r="Y340" t="s">
        <v>53</v>
      </c>
      <c r="Z340">
        <v>0</v>
      </c>
      <c r="AA340">
        <v>1</v>
      </c>
      <c r="AB340" t="s">
        <v>359</v>
      </c>
      <c r="AC340" t="s">
        <v>98</v>
      </c>
      <c r="AD340" t="s">
        <v>98</v>
      </c>
      <c r="AE340">
        <v>1</v>
      </c>
      <c r="AF340">
        <v>1</v>
      </c>
    </row>
    <row r="341" spans="1:32" x14ac:dyDescent="0.2">
      <c r="A341" t="s">
        <v>92</v>
      </c>
      <c r="B341" t="s">
        <v>356</v>
      </c>
      <c r="C341" t="s">
        <v>357</v>
      </c>
      <c r="D341" t="s">
        <v>112</v>
      </c>
      <c r="E341" t="s">
        <v>113</v>
      </c>
      <c r="F341" t="s">
        <v>404</v>
      </c>
      <c r="G341">
        <v>26</v>
      </c>
      <c r="H341" t="s">
        <v>48</v>
      </c>
      <c r="I341" t="s">
        <v>49</v>
      </c>
      <c r="J341" t="s">
        <v>50</v>
      </c>
      <c r="K341">
        <v>0</v>
      </c>
      <c r="L341">
        <v>0</v>
      </c>
      <c r="M341">
        <v>1</v>
      </c>
      <c r="N341" t="s">
        <v>50</v>
      </c>
      <c r="O341">
        <v>0</v>
      </c>
      <c r="P341">
        <v>0</v>
      </c>
      <c r="Q341">
        <v>1</v>
      </c>
      <c r="R341" t="s">
        <v>60</v>
      </c>
      <c r="S341">
        <v>0</v>
      </c>
      <c r="T341">
        <v>1</v>
      </c>
      <c r="U341">
        <v>1</v>
      </c>
      <c r="W341">
        <v>0</v>
      </c>
      <c r="X341">
        <v>0</v>
      </c>
      <c r="Y341" t="s">
        <v>52</v>
      </c>
      <c r="Z341">
        <v>1</v>
      </c>
      <c r="AA341">
        <v>1</v>
      </c>
      <c r="AB341" t="s">
        <v>359</v>
      </c>
      <c r="AC341" t="s">
        <v>98</v>
      </c>
      <c r="AD341" t="s">
        <v>131</v>
      </c>
      <c r="AE341">
        <v>1</v>
      </c>
      <c r="AF341">
        <v>1</v>
      </c>
    </row>
    <row r="342" spans="1:32" x14ac:dyDescent="0.2">
      <c r="A342" t="s">
        <v>92</v>
      </c>
      <c r="B342" t="s">
        <v>356</v>
      </c>
      <c r="C342" t="s">
        <v>357</v>
      </c>
      <c r="D342" t="s">
        <v>95</v>
      </c>
      <c r="E342" t="s">
        <v>96</v>
      </c>
      <c r="F342" t="s">
        <v>405</v>
      </c>
      <c r="G342">
        <v>23</v>
      </c>
      <c r="H342" t="s">
        <v>48</v>
      </c>
      <c r="I342" t="s">
        <v>67</v>
      </c>
      <c r="J342" t="s">
        <v>50</v>
      </c>
      <c r="K342">
        <v>0</v>
      </c>
      <c r="L342">
        <v>0</v>
      </c>
      <c r="M342">
        <v>1</v>
      </c>
      <c r="N342" t="s">
        <v>73</v>
      </c>
      <c r="O342">
        <v>1</v>
      </c>
      <c r="P342">
        <v>0</v>
      </c>
      <c r="Q342">
        <v>1</v>
      </c>
      <c r="R342" t="s">
        <v>62</v>
      </c>
      <c r="S342">
        <v>1</v>
      </c>
      <c r="T342">
        <v>0</v>
      </c>
      <c r="U342">
        <v>1</v>
      </c>
      <c r="V342" t="s">
        <v>53</v>
      </c>
      <c r="W342">
        <v>0</v>
      </c>
      <c r="X342">
        <v>1</v>
      </c>
      <c r="Y342" t="s">
        <v>53</v>
      </c>
      <c r="Z342">
        <v>0</v>
      </c>
      <c r="AA342">
        <v>1</v>
      </c>
      <c r="AB342" t="s">
        <v>359</v>
      </c>
      <c r="AC342" t="s">
        <v>98</v>
      </c>
      <c r="AD342" t="s">
        <v>98</v>
      </c>
      <c r="AE342">
        <v>1</v>
      </c>
      <c r="AF342">
        <v>1</v>
      </c>
    </row>
    <row r="343" spans="1:32" x14ac:dyDescent="0.2">
      <c r="A343" t="s">
        <v>92</v>
      </c>
      <c r="B343" t="s">
        <v>356</v>
      </c>
      <c r="C343" t="s">
        <v>357</v>
      </c>
      <c r="D343" t="s">
        <v>95</v>
      </c>
      <c r="E343" t="s">
        <v>96</v>
      </c>
      <c r="F343" t="s">
        <v>406</v>
      </c>
      <c r="G343">
        <v>29</v>
      </c>
      <c r="H343" t="s">
        <v>56</v>
      </c>
      <c r="I343" t="s">
        <v>49</v>
      </c>
      <c r="J343" t="s">
        <v>50</v>
      </c>
      <c r="K343">
        <v>0</v>
      </c>
      <c r="L343">
        <v>0</v>
      </c>
      <c r="M343">
        <v>1</v>
      </c>
      <c r="N343" t="s">
        <v>65</v>
      </c>
      <c r="O343">
        <v>0</v>
      </c>
      <c r="P343">
        <v>1</v>
      </c>
      <c r="Q343">
        <v>1</v>
      </c>
      <c r="R343" t="s">
        <v>60</v>
      </c>
      <c r="S343">
        <v>0</v>
      </c>
      <c r="T343">
        <v>1</v>
      </c>
      <c r="U343">
        <v>1</v>
      </c>
      <c r="V343" t="s">
        <v>53</v>
      </c>
      <c r="W343">
        <v>0</v>
      </c>
      <c r="X343">
        <v>1</v>
      </c>
      <c r="Y343" t="s">
        <v>52</v>
      </c>
      <c r="Z343">
        <v>1</v>
      </c>
      <c r="AA343">
        <v>1</v>
      </c>
      <c r="AB343" t="s">
        <v>359</v>
      </c>
      <c r="AC343" t="s">
        <v>98</v>
      </c>
      <c r="AD343" t="s">
        <v>98</v>
      </c>
      <c r="AE343">
        <v>1</v>
      </c>
      <c r="AF343">
        <v>1</v>
      </c>
    </row>
    <row r="344" spans="1:32" x14ac:dyDescent="0.2">
      <c r="A344" t="s">
        <v>92</v>
      </c>
      <c r="B344" t="s">
        <v>356</v>
      </c>
      <c r="C344" t="s">
        <v>357</v>
      </c>
      <c r="D344" t="s">
        <v>95</v>
      </c>
      <c r="E344" t="s">
        <v>96</v>
      </c>
      <c r="F344" t="s">
        <v>407</v>
      </c>
      <c r="G344">
        <v>43</v>
      </c>
      <c r="H344" t="s">
        <v>48</v>
      </c>
      <c r="I344" t="s">
        <v>64</v>
      </c>
      <c r="J344" t="s">
        <v>144</v>
      </c>
      <c r="K344">
        <v>0</v>
      </c>
      <c r="L344">
        <v>1</v>
      </c>
      <c r="M344">
        <v>1</v>
      </c>
      <c r="N344" t="s">
        <v>50</v>
      </c>
      <c r="O344">
        <v>0</v>
      </c>
      <c r="P344">
        <v>0</v>
      </c>
      <c r="Q344">
        <v>1</v>
      </c>
      <c r="R344" t="s">
        <v>62</v>
      </c>
      <c r="S344">
        <v>1</v>
      </c>
      <c r="T344">
        <v>0</v>
      </c>
      <c r="U344">
        <v>1</v>
      </c>
      <c r="V344" t="s">
        <v>52</v>
      </c>
      <c r="W344">
        <v>1</v>
      </c>
      <c r="X344">
        <v>1</v>
      </c>
      <c r="Y344" t="s">
        <v>52</v>
      </c>
      <c r="Z344">
        <v>1</v>
      </c>
      <c r="AA344">
        <v>1</v>
      </c>
      <c r="AB344" t="s">
        <v>359</v>
      </c>
      <c r="AC344" t="s">
        <v>98</v>
      </c>
      <c r="AD344" t="s">
        <v>98</v>
      </c>
      <c r="AE344">
        <v>1</v>
      </c>
      <c r="AF344">
        <v>1</v>
      </c>
    </row>
    <row r="345" spans="1:32" x14ac:dyDescent="0.2">
      <c r="A345" t="s">
        <v>92</v>
      </c>
      <c r="B345" t="s">
        <v>356</v>
      </c>
      <c r="C345" t="s">
        <v>357</v>
      </c>
      <c r="D345" t="s">
        <v>112</v>
      </c>
      <c r="E345" t="s">
        <v>113</v>
      </c>
      <c r="F345" t="s">
        <v>408</v>
      </c>
      <c r="G345">
        <v>39</v>
      </c>
      <c r="H345" t="s">
        <v>48</v>
      </c>
      <c r="I345" t="s">
        <v>64</v>
      </c>
      <c r="J345" t="s">
        <v>50</v>
      </c>
      <c r="K345">
        <v>0</v>
      </c>
      <c r="L345">
        <v>0</v>
      </c>
      <c r="M345">
        <v>1</v>
      </c>
      <c r="N345" t="s">
        <v>65</v>
      </c>
      <c r="O345">
        <v>0</v>
      </c>
      <c r="P345">
        <v>1</v>
      </c>
      <c r="Q345">
        <v>1</v>
      </c>
      <c r="R345" t="s">
        <v>62</v>
      </c>
      <c r="S345">
        <v>1</v>
      </c>
      <c r="T345">
        <v>0</v>
      </c>
      <c r="U345">
        <v>1</v>
      </c>
      <c r="V345" t="s">
        <v>53</v>
      </c>
      <c r="W345">
        <v>0</v>
      </c>
      <c r="X345">
        <v>1</v>
      </c>
      <c r="Y345" t="s">
        <v>53</v>
      </c>
      <c r="Z345">
        <v>0</v>
      </c>
      <c r="AA345">
        <v>1</v>
      </c>
      <c r="AB345" t="s">
        <v>359</v>
      </c>
      <c r="AC345" t="s">
        <v>98</v>
      </c>
      <c r="AD345" t="s">
        <v>98</v>
      </c>
      <c r="AE345">
        <v>1</v>
      </c>
      <c r="AF345">
        <v>1</v>
      </c>
    </row>
    <row r="346" spans="1:32" x14ac:dyDescent="0.2">
      <c r="A346" t="s">
        <v>92</v>
      </c>
      <c r="B346" t="s">
        <v>356</v>
      </c>
      <c r="C346" t="s">
        <v>357</v>
      </c>
      <c r="D346" t="s">
        <v>95</v>
      </c>
      <c r="E346" t="s">
        <v>96</v>
      </c>
      <c r="F346" t="s">
        <v>409</v>
      </c>
      <c r="G346">
        <v>42</v>
      </c>
      <c r="H346" t="s">
        <v>56</v>
      </c>
      <c r="I346" t="s">
        <v>64</v>
      </c>
      <c r="J346" t="s">
        <v>50</v>
      </c>
      <c r="K346">
        <v>0</v>
      </c>
      <c r="L346">
        <v>0</v>
      </c>
      <c r="M346">
        <v>1</v>
      </c>
      <c r="N346" t="s">
        <v>50</v>
      </c>
      <c r="O346">
        <v>0</v>
      </c>
      <c r="P346">
        <v>0</v>
      </c>
      <c r="Q346">
        <v>1</v>
      </c>
      <c r="R346" t="s">
        <v>60</v>
      </c>
      <c r="S346">
        <v>0</v>
      </c>
      <c r="T346">
        <v>1</v>
      </c>
      <c r="U346">
        <v>1</v>
      </c>
      <c r="V346" t="s">
        <v>52</v>
      </c>
      <c r="W346">
        <v>1</v>
      </c>
      <c r="X346">
        <v>1</v>
      </c>
      <c r="Y346" t="s">
        <v>53</v>
      </c>
      <c r="Z346">
        <v>0</v>
      </c>
      <c r="AA346">
        <v>1</v>
      </c>
      <c r="AB346" t="s">
        <v>359</v>
      </c>
      <c r="AC346" t="s">
        <v>131</v>
      </c>
      <c r="AD346" t="s">
        <v>98</v>
      </c>
      <c r="AE346">
        <v>1</v>
      </c>
      <c r="AF346">
        <v>1</v>
      </c>
    </row>
    <row r="347" spans="1:32" x14ac:dyDescent="0.2">
      <c r="A347" t="s">
        <v>92</v>
      </c>
      <c r="B347" t="s">
        <v>356</v>
      </c>
      <c r="C347" t="s">
        <v>357</v>
      </c>
      <c r="D347" t="s">
        <v>95</v>
      </c>
      <c r="E347" t="s">
        <v>96</v>
      </c>
      <c r="F347" t="s">
        <v>410</v>
      </c>
      <c r="G347">
        <v>28</v>
      </c>
      <c r="H347" t="s">
        <v>56</v>
      </c>
      <c r="I347" t="s">
        <v>49</v>
      </c>
      <c r="J347" t="s">
        <v>144</v>
      </c>
      <c r="K347">
        <v>0</v>
      </c>
      <c r="L347">
        <v>1</v>
      </c>
      <c r="M347">
        <v>1</v>
      </c>
      <c r="N347" t="s">
        <v>73</v>
      </c>
      <c r="O347">
        <v>1</v>
      </c>
      <c r="P347">
        <v>0</v>
      </c>
      <c r="Q347">
        <v>1</v>
      </c>
      <c r="R347" t="s">
        <v>62</v>
      </c>
      <c r="S347">
        <v>1</v>
      </c>
      <c r="T347">
        <v>0</v>
      </c>
      <c r="U347">
        <v>1</v>
      </c>
      <c r="V347" t="s">
        <v>53</v>
      </c>
      <c r="W347">
        <v>0</v>
      </c>
      <c r="X347">
        <v>1</v>
      </c>
      <c r="Y347" t="s">
        <v>53</v>
      </c>
      <c r="Z347">
        <v>0</v>
      </c>
      <c r="AA347">
        <v>1</v>
      </c>
      <c r="AB347" t="s">
        <v>359</v>
      </c>
      <c r="AC347" t="s">
        <v>98</v>
      </c>
      <c r="AD347" t="s">
        <v>98</v>
      </c>
      <c r="AE347">
        <v>1</v>
      </c>
      <c r="AF347">
        <v>1</v>
      </c>
    </row>
    <row r="348" spans="1:32" x14ac:dyDescent="0.2">
      <c r="A348" t="s">
        <v>92</v>
      </c>
      <c r="B348" t="s">
        <v>356</v>
      </c>
      <c r="C348" t="s">
        <v>357</v>
      </c>
      <c r="D348" t="s">
        <v>95</v>
      </c>
      <c r="E348" t="s">
        <v>96</v>
      </c>
      <c r="F348" t="s">
        <v>411</v>
      </c>
      <c r="G348">
        <v>45</v>
      </c>
      <c r="H348" t="s">
        <v>48</v>
      </c>
      <c r="I348" t="s">
        <v>64</v>
      </c>
      <c r="J348" t="s">
        <v>50</v>
      </c>
      <c r="K348">
        <v>0</v>
      </c>
      <c r="L348">
        <v>0</v>
      </c>
      <c r="M348">
        <v>1</v>
      </c>
      <c r="N348" t="s">
        <v>50</v>
      </c>
      <c r="O348">
        <v>0</v>
      </c>
      <c r="P348">
        <v>0</v>
      </c>
      <c r="Q348">
        <v>1</v>
      </c>
      <c r="R348" t="s">
        <v>51</v>
      </c>
      <c r="S348">
        <v>0</v>
      </c>
      <c r="T348">
        <v>0</v>
      </c>
      <c r="U348">
        <v>1</v>
      </c>
      <c r="V348" t="s">
        <v>53</v>
      </c>
      <c r="W348">
        <v>0</v>
      </c>
      <c r="X348">
        <v>1</v>
      </c>
      <c r="Y348" t="s">
        <v>52</v>
      </c>
      <c r="Z348">
        <v>1</v>
      </c>
      <c r="AA348">
        <v>1</v>
      </c>
      <c r="AB348" t="s">
        <v>359</v>
      </c>
      <c r="AC348" t="s">
        <v>131</v>
      </c>
      <c r="AD348" t="s">
        <v>98</v>
      </c>
      <c r="AE348">
        <v>1</v>
      </c>
      <c r="AF348">
        <v>1</v>
      </c>
    </row>
    <row r="349" spans="1:32" x14ac:dyDescent="0.2">
      <c r="A349" t="s">
        <v>92</v>
      </c>
      <c r="B349" t="s">
        <v>356</v>
      </c>
      <c r="C349" t="s">
        <v>357</v>
      </c>
      <c r="D349" t="s">
        <v>112</v>
      </c>
      <c r="E349" t="s">
        <v>113</v>
      </c>
      <c r="F349" t="s">
        <v>412</v>
      </c>
      <c r="G349">
        <v>24</v>
      </c>
      <c r="H349" t="s">
        <v>48</v>
      </c>
      <c r="I349" t="s">
        <v>67</v>
      </c>
      <c r="J349" t="s">
        <v>144</v>
      </c>
      <c r="K349">
        <v>0</v>
      </c>
      <c r="L349">
        <v>1</v>
      </c>
      <c r="M349">
        <v>1</v>
      </c>
      <c r="N349" t="s">
        <v>50</v>
      </c>
      <c r="O349">
        <v>0</v>
      </c>
      <c r="P349">
        <v>0</v>
      </c>
      <c r="Q349">
        <v>1</v>
      </c>
      <c r="R349" t="s">
        <v>51</v>
      </c>
      <c r="S349">
        <v>0</v>
      </c>
      <c r="T349">
        <v>0</v>
      </c>
      <c r="U349">
        <v>1</v>
      </c>
      <c r="V349" t="s">
        <v>53</v>
      </c>
      <c r="W349">
        <v>0</v>
      </c>
      <c r="X349">
        <v>1</v>
      </c>
      <c r="Y349" t="s">
        <v>52</v>
      </c>
      <c r="Z349">
        <v>1</v>
      </c>
      <c r="AA349">
        <v>1</v>
      </c>
      <c r="AB349" t="s">
        <v>359</v>
      </c>
      <c r="AC349" t="s">
        <v>98</v>
      </c>
      <c r="AD349" t="s">
        <v>98</v>
      </c>
      <c r="AE349">
        <v>1</v>
      </c>
      <c r="AF349">
        <v>1</v>
      </c>
    </row>
    <row r="350" spans="1:32" x14ac:dyDescent="0.2">
      <c r="A350" t="s">
        <v>92</v>
      </c>
      <c r="B350" t="s">
        <v>356</v>
      </c>
      <c r="C350" t="s">
        <v>357</v>
      </c>
      <c r="D350" t="s">
        <v>95</v>
      </c>
      <c r="E350" t="s">
        <v>96</v>
      </c>
      <c r="F350" t="s">
        <v>413</v>
      </c>
      <c r="G350">
        <v>34</v>
      </c>
      <c r="H350" t="s">
        <v>48</v>
      </c>
      <c r="I350" t="s">
        <v>49</v>
      </c>
      <c r="J350" t="s">
        <v>50</v>
      </c>
      <c r="K350">
        <v>0</v>
      </c>
      <c r="L350">
        <v>0</v>
      </c>
      <c r="M350">
        <v>1</v>
      </c>
      <c r="N350" t="s">
        <v>50</v>
      </c>
      <c r="O350">
        <v>0</v>
      </c>
      <c r="P350">
        <v>0</v>
      </c>
      <c r="Q350">
        <v>1</v>
      </c>
      <c r="R350" t="s">
        <v>51</v>
      </c>
      <c r="S350">
        <v>0</v>
      </c>
      <c r="T350">
        <v>0</v>
      </c>
      <c r="U350">
        <v>1</v>
      </c>
      <c r="V350" t="s">
        <v>53</v>
      </c>
      <c r="W350">
        <v>0</v>
      </c>
      <c r="X350">
        <v>1</v>
      </c>
      <c r="Y350" t="s">
        <v>53</v>
      </c>
      <c r="Z350">
        <v>0</v>
      </c>
      <c r="AA350">
        <v>1</v>
      </c>
      <c r="AB350" t="s">
        <v>359</v>
      </c>
      <c r="AC350" t="s">
        <v>98</v>
      </c>
      <c r="AD350" t="s">
        <v>98</v>
      </c>
      <c r="AE350">
        <v>1</v>
      </c>
      <c r="AF350">
        <v>1</v>
      </c>
    </row>
    <row r="351" spans="1:32" x14ac:dyDescent="0.2">
      <c r="A351" t="s">
        <v>92</v>
      </c>
      <c r="B351" t="s">
        <v>356</v>
      </c>
      <c r="C351" t="s">
        <v>357</v>
      </c>
      <c r="D351" t="s">
        <v>95</v>
      </c>
      <c r="E351" t="s">
        <v>96</v>
      </c>
      <c r="F351" t="s">
        <v>414</v>
      </c>
      <c r="G351">
        <v>50</v>
      </c>
      <c r="H351" t="s">
        <v>56</v>
      </c>
      <c r="I351" t="s">
        <v>70</v>
      </c>
      <c r="J351" t="s">
        <v>50</v>
      </c>
      <c r="K351">
        <v>0</v>
      </c>
      <c r="L351">
        <v>0</v>
      </c>
      <c r="M351">
        <v>1</v>
      </c>
      <c r="N351" t="s">
        <v>65</v>
      </c>
      <c r="O351">
        <v>0</v>
      </c>
      <c r="P351">
        <v>1</v>
      </c>
      <c r="Q351">
        <v>1</v>
      </c>
      <c r="R351" t="s">
        <v>62</v>
      </c>
      <c r="S351">
        <v>1</v>
      </c>
      <c r="T351">
        <v>0</v>
      </c>
      <c r="U351">
        <v>1</v>
      </c>
      <c r="V351" t="s">
        <v>53</v>
      </c>
      <c r="W351">
        <v>0</v>
      </c>
      <c r="X351">
        <v>1</v>
      </c>
      <c r="Y351" t="s">
        <v>52</v>
      </c>
      <c r="Z351">
        <v>1</v>
      </c>
      <c r="AA351">
        <v>1</v>
      </c>
      <c r="AB351" t="s">
        <v>359</v>
      </c>
      <c r="AC351" t="s">
        <v>98</v>
      </c>
      <c r="AD351" t="s">
        <v>98</v>
      </c>
      <c r="AE351">
        <v>1</v>
      </c>
      <c r="AF351">
        <v>1</v>
      </c>
    </row>
    <row r="352" spans="1:32" x14ac:dyDescent="0.2">
      <c r="A352" t="s">
        <v>92</v>
      </c>
      <c r="B352" t="s">
        <v>356</v>
      </c>
      <c r="C352" t="s">
        <v>357</v>
      </c>
      <c r="D352" t="s">
        <v>95</v>
      </c>
      <c r="E352" t="s">
        <v>96</v>
      </c>
      <c r="F352" t="s">
        <v>415</v>
      </c>
      <c r="G352">
        <v>45</v>
      </c>
      <c r="H352" t="s">
        <v>48</v>
      </c>
      <c r="I352" t="s">
        <v>64</v>
      </c>
      <c r="J352" t="s">
        <v>50</v>
      </c>
      <c r="K352">
        <v>0</v>
      </c>
      <c r="L352">
        <v>0</v>
      </c>
      <c r="M352">
        <v>1</v>
      </c>
      <c r="N352" t="s">
        <v>65</v>
      </c>
      <c r="O352">
        <v>0</v>
      </c>
      <c r="P352">
        <v>1</v>
      </c>
      <c r="Q352">
        <v>1</v>
      </c>
      <c r="R352" t="s">
        <v>60</v>
      </c>
      <c r="S352">
        <v>0</v>
      </c>
      <c r="T352">
        <v>1</v>
      </c>
      <c r="U352">
        <v>1</v>
      </c>
      <c r="V352" t="s">
        <v>53</v>
      </c>
      <c r="W352">
        <v>0</v>
      </c>
      <c r="X352">
        <v>1</v>
      </c>
      <c r="Y352" t="s">
        <v>53</v>
      </c>
      <c r="Z352">
        <v>0</v>
      </c>
      <c r="AA352">
        <v>1</v>
      </c>
      <c r="AB352" t="s">
        <v>359</v>
      </c>
      <c r="AC352" t="s">
        <v>98</v>
      </c>
      <c r="AD352" t="s">
        <v>98</v>
      </c>
      <c r="AE352">
        <v>1</v>
      </c>
      <c r="AF352">
        <v>1</v>
      </c>
    </row>
    <row r="353" spans="1:32" x14ac:dyDescent="0.2">
      <c r="A353" t="s">
        <v>92</v>
      </c>
      <c r="B353" t="s">
        <v>356</v>
      </c>
      <c r="C353" t="s">
        <v>357</v>
      </c>
      <c r="D353" t="s">
        <v>95</v>
      </c>
      <c r="E353" t="s">
        <v>96</v>
      </c>
      <c r="F353" t="s">
        <v>416</v>
      </c>
      <c r="G353">
        <v>41</v>
      </c>
      <c r="H353" t="s">
        <v>56</v>
      </c>
      <c r="I353" t="s">
        <v>64</v>
      </c>
      <c r="J353" t="s">
        <v>50</v>
      </c>
      <c r="K353">
        <v>0</v>
      </c>
      <c r="L353">
        <v>0</v>
      </c>
      <c r="M353">
        <v>1</v>
      </c>
      <c r="N353" t="s">
        <v>50</v>
      </c>
      <c r="O353">
        <v>0</v>
      </c>
      <c r="P353">
        <v>0</v>
      </c>
      <c r="Q353">
        <v>1</v>
      </c>
      <c r="R353" t="s">
        <v>51</v>
      </c>
      <c r="S353">
        <v>0</v>
      </c>
      <c r="T353">
        <v>0</v>
      </c>
      <c r="U353">
        <v>1</v>
      </c>
      <c r="V353" t="s">
        <v>53</v>
      </c>
      <c r="W353">
        <v>0</v>
      </c>
      <c r="X353">
        <v>1</v>
      </c>
      <c r="Y353" t="s">
        <v>53</v>
      </c>
      <c r="Z353">
        <v>0</v>
      </c>
      <c r="AA353">
        <v>1</v>
      </c>
      <c r="AB353" t="s">
        <v>359</v>
      </c>
      <c r="AC353" t="s">
        <v>131</v>
      </c>
      <c r="AD353" t="s">
        <v>98</v>
      </c>
      <c r="AE353">
        <v>1</v>
      </c>
      <c r="AF353">
        <v>1</v>
      </c>
    </row>
    <row r="354" spans="1:32" x14ac:dyDescent="0.2">
      <c r="A354" t="s">
        <v>92</v>
      </c>
      <c r="B354" t="s">
        <v>356</v>
      </c>
      <c r="C354" t="s">
        <v>357</v>
      </c>
      <c r="D354" t="s">
        <v>95</v>
      </c>
      <c r="E354" t="s">
        <v>96</v>
      </c>
      <c r="F354" t="s">
        <v>417</v>
      </c>
      <c r="G354">
        <v>34</v>
      </c>
      <c r="H354" t="s">
        <v>56</v>
      </c>
      <c r="I354" t="s">
        <v>49</v>
      </c>
      <c r="J354" t="s">
        <v>50</v>
      </c>
      <c r="K354">
        <v>0</v>
      </c>
      <c r="L354">
        <v>0</v>
      </c>
      <c r="M354">
        <v>1</v>
      </c>
      <c r="N354" t="s">
        <v>65</v>
      </c>
      <c r="O354">
        <v>0</v>
      </c>
      <c r="P354">
        <v>1</v>
      </c>
      <c r="Q354">
        <v>1</v>
      </c>
      <c r="R354" t="s">
        <v>60</v>
      </c>
      <c r="S354">
        <v>0</v>
      </c>
      <c r="T354">
        <v>1</v>
      </c>
      <c r="U354">
        <v>1</v>
      </c>
      <c r="V354" t="s">
        <v>53</v>
      </c>
      <c r="W354">
        <v>0</v>
      </c>
      <c r="X354">
        <v>1</v>
      </c>
      <c r="Y354" t="s">
        <v>52</v>
      </c>
      <c r="Z354">
        <v>1</v>
      </c>
      <c r="AA354">
        <v>1</v>
      </c>
      <c r="AB354" t="s">
        <v>359</v>
      </c>
      <c r="AC354" t="s">
        <v>98</v>
      </c>
      <c r="AD354" t="s">
        <v>98</v>
      </c>
      <c r="AE354">
        <v>1</v>
      </c>
      <c r="AF354">
        <v>1</v>
      </c>
    </row>
    <row r="355" spans="1:32" x14ac:dyDescent="0.2">
      <c r="A355" t="s">
        <v>92</v>
      </c>
      <c r="B355" t="s">
        <v>356</v>
      </c>
      <c r="C355" t="s">
        <v>357</v>
      </c>
      <c r="D355" t="s">
        <v>95</v>
      </c>
      <c r="E355" t="s">
        <v>96</v>
      </c>
      <c r="F355" t="s">
        <v>418</v>
      </c>
      <c r="G355">
        <v>29</v>
      </c>
      <c r="H355" t="s">
        <v>48</v>
      </c>
      <c r="I355" t="s">
        <v>49</v>
      </c>
      <c r="J355" t="s">
        <v>50</v>
      </c>
      <c r="K355">
        <v>0</v>
      </c>
      <c r="L355">
        <v>0</v>
      </c>
      <c r="M355">
        <v>1</v>
      </c>
      <c r="N355" t="s">
        <v>50</v>
      </c>
      <c r="O355">
        <v>0</v>
      </c>
      <c r="P355">
        <v>0</v>
      </c>
      <c r="Q355">
        <v>1</v>
      </c>
      <c r="R355" t="s">
        <v>62</v>
      </c>
      <c r="S355">
        <v>1</v>
      </c>
      <c r="T355">
        <v>0</v>
      </c>
      <c r="U355">
        <v>1</v>
      </c>
      <c r="V355" t="s">
        <v>53</v>
      </c>
      <c r="W355">
        <v>0</v>
      </c>
      <c r="X355">
        <v>1</v>
      </c>
      <c r="Y355" t="s">
        <v>52</v>
      </c>
      <c r="Z355">
        <v>1</v>
      </c>
      <c r="AA355">
        <v>1</v>
      </c>
      <c r="AB355" t="s">
        <v>359</v>
      </c>
      <c r="AC355" t="s">
        <v>98</v>
      </c>
      <c r="AD355" t="s">
        <v>98</v>
      </c>
      <c r="AE355">
        <v>1</v>
      </c>
      <c r="AF355">
        <v>1</v>
      </c>
    </row>
    <row r="356" spans="1:32" x14ac:dyDescent="0.2">
      <c r="A356" t="s">
        <v>92</v>
      </c>
      <c r="B356" t="s">
        <v>356</v>
      </c>
      <c r="C356" t="s">
        <v>357</v>
      </c>
      <c r="D356" t="s">
        <v>95</v>
      </c>
      <c r="E356" t="s">
        <v>96</v>
      </c>
      <c r="F356" t="s">
        <v>419</v>
      </c>
      <c r="G356">
        <v>44</v>
      </c>
      <c r="H356" t="s">
        <v>48</v>
      </c>
      <c r="I356" t="s">
        <v>64</v>
      </c>
      <c r="J356" t="s">
        <v>50</v>
      </c>
      <c r="K356">
        <v>0</v>
      </c>
      <c r="L356">
        <v>0</v>
      </c>
      <c r="M356">
        <v>1</v>
      </c>
      <c r="N356" t="s">
        <v>50</v>
      </c>
      <c r="O356">
        <v>0</v>
      </c>
      <c r="P356">
        <v>0</v>
      </c>
      <c r="Q356">
        <v>1</v>
      </c>
      <c r="R356" t="s">
        <v>62</v>
      </c>
      <c r="S356">
        <v>1</v>
      </c>
      <c r="T356">
        <v>0</v>
      </c>
      <c r="U356">
        <v>1</v>
      </c>
      <c r="V356" t="s">
        <v>53</v>
      </c>
      <c r="W356">
        <v>0</v>
      </c>
      <c r="X356">
        <v>1</v>
      </c>
      <c r="Y356" t="s">
        <v>52</v>
      </c>
      <c r="Z356">
        <v>1</v>
      </c>
      <c r="AA356">
        <v>1</v>
      </c>
      <c r="AB356" t="s">
        <v>359</v>
      </c>
      <c r="AC356" t="s">
        <v>98</v>
      </c>
      <c r="AD356" t="s">
        <v>98</v>
      </c>
      <c r="AE356">
        <v>1</v>
      </c>
      <c r="AF356">
        <v>1</v>
      </c>
    </row>
    <row r="357" spans="1:32" x14ac:dyDescent="0.2">
      <c r="A357" t="s">
        <v>92</v>
      </c>
      <c r="B357" t="s">
        <v>356</v>
      </c>
      <c r="C357" t="s">
        <v>357</v>
      </c>
      <c r="D357" t="s">
        <v>95</v>
      </c>
      <c r="E357" t="s">
        <v>96</v>
      </c>
      <c r="F357" t="s">
        <v>420</v>
      </c>
      <c r="G357">
        <v>33</v>
      </c>
      <c r="H357" t="s">
        <v>56</v>
      </c>
      <c r="I357" t="s">
        <v>49</v>
      </c>
      <c r="J357" t="s">
        <v>50</v>
      </c>
      <c r="K357">
        <v>0</v>
      </c>
      <c r="L357">
        <v>0</v>
      </c>
      <c r="M357">
        <v>1</v>
      </c>
      <c r="N357" t="s">
        <v>50</v>
      </c>
      <c r="O357">
        <v>0</v>
      </c>
      <c r="P357">
        <v>0</v>
      </c>
      <c r="Q357">
        <v>1</v>
      </c>
      <c r="R357" t="s">
        <v>60</v>
      </c>
      <c r="S357">
        <v>0</v>
      </c>
      <c r="T357">
        <v>1</v>
      </c>
      <c r="U357">
        <v>1</v>
      </c>
      <c r="V357" t="s">
        <v>53</v>
      </c>
      <c r="W357">
        <v>0</v>
      </c>
      <c r="X357">
        <v>1</v>
      </c>
      <c r="Y357" t="s">
        <v>53</v>
      </c>
      <c r="Z357">
        <v>0</v>
      </c>
      <c r="AA357">
        <v>1</v>
      </c>
      <c r="AB357" t="s">
        <v>359</v>
      </c>
      <c r="AC357" t="s">
        <v>131</v>
      </c>
      <c r="AD357" t="s">
        <v>98</v>
      </c>
      <c r="AE357">
        <v>1</v>
      </c>
      <c r="AF357">
        <v>1</v>
      </c>
    </row>
    <row r="358" spans="1:32" x14ac:dyDescent="0.2">
      <c r="A358" t="s">
        <v>92</v>
      </c>
      <c r="B358" t="s">
        <v>356</v>
      </c>
      <c r="C358" t="s">
        <v>357</v>
      </c>
      <c r="D358" t="s">
        <v>95</v>
      </c>
      <c r="E358" t="s">
        <v>96</v>
      </c>
      <c r="F358" t="s">
        <v>421</v>
      </c>
      <c r="G358">
        <v>39</v>
      </c>
      <c r="H358" t="s">
        <v>48</v>
      </c>
      <c r="I358" t="s">
        <v>64</v>
      </c>
      <c r="J358" t="s">
        <v>144</v>
      </c>
      <c r="K358">
        <v>0</v>
      </c>
      <c r="L358">
        <v>1</v>
      </c>
      <c r="M358">
        <v>1</v>
      </c>
      <c r="N358" t="s">
        <v>65</v>
      </c>
      <c r="O358">
        <v>0</v>
      </c>
      <c r="P358">
        <v>1</v>
      </c>
      <c r="Q358">
        <v>1</v>
      </c>
      <c r="R358" t="s">
        <v>62</v>
      </c>
      <c r="S358">
        <v>1</v>
      </c>
      <c r="T358">
        <v>0</v>
      </c>
      <c r="U358">
        <v>1</v>
      </c>
      <c r="V358" t="s">
        <v>53</v>
      </c>
      <c r="W358">
        <v>0</v>
      </c>
      <c r="X358">
        <v>1</v>
      </c>
      <c r="Y358" t="s">
        <v>53</v>
      </c>
      <c r="Z358">
        <v>0</v>
      </c>
      <c r="AA358">
        <v>1</v>
      </c>
      <c r="AB358" t="s">
        <v>359</v>
      </c>
      <c r="AC358" t="s">
        <v>98</v>
      </c>
      <c r="AD358" t="s">
        <v>98</v>
      </c>
      <c r="AE358">
        <v>1</v>
      </c>
      <c r="AF358">
        <v>1</v>
      </c>
    </row>
    <row r="359" spans="1:32" x14ac:dyDescent="0.2">
      <c r="A359" t="s">
        <v>92</v>
      </c>
      <c r="B359" t="s">
        <v>356</v>
      </c>
      <c r="C359" t="s">
        <v>357</v>
      </c>
      <c r="D359" t="s">
        <v>95</v>
      </c>
      <c r="E359" t="s">
        <v>96</v>
      </c>
      <c r="F359" t="s">
        <v>422</v>
      </c>
      <c r="G359">
        <v>57</v>
      </c>
      <c r="H359" t="s">
        <v>48</v>
      </c>
      <c r="I359" t="s">
        <v>85</v>
      </c>
      <c r="J359" t="s">
        <v>59</v>
      </c>
      <c r="K359">
        <v>1</v>
      </c>
      <c r="L359">
        <v>0</v>
      </c>
      <c r="M359">
        <v>1</v>
      </c>
      <c r="N359" t="s">
        <v>65</v>
      </c>
      <c r="O359">
        <v>0</v>
      </c>
      <c r="P359">
        <v>1</v>
      </c>
      <c r="Q359">
        <v>1</v>
      </c>
      <c r="R359" t="s">
        <v>62</v>
      </c>
      <c r="S359">
        <v>1</v>
      </c>
      <c r="T359">
        <v>0</v>
      </c>
      <c r="U359">
        <v>1</v>
      </c>
      <c r="V359" t="s">
        <v>53</v>
      </c>
      <c r="W359">
        <v>0</v>
      </c>
      <c r="X359">
        <v>1</v>
      </c>
      <c r="Y359" t="s">
        <v>52</v>
      </c>
      <c r="Z359">
        <v>1</v>
      </c>
      <c r="AA359">
        <v>1</v>
      </c>
      <c r="AB359" t="s">
        <v>359</v>
      </c>
      <c r="AC359" t="s">
        <v>98</v>
      </c>
      <c r="AD359" t="s">
        <v>98</v>
      </c>
      <c r="AE359">
        <v>1</v>
      </c>
      <c r="AF359">
        <v>1</v>
      </c>
    </row>
    <row r="360" spans="1:32" x14ac:dyDescent="0.2">
      <c r="A360" t="s">
        <v>92</v>
      </c>
      <c r="B360" t="s">
        <v>356</v>
      </c>
      <c r="C360" t="s">
        <v>357</v>
      </c>
      <c r="D360" t="s">
        <v>112</v>
      </c>
      <c r="E360" t="s">
        <v>113</v>
      </c>
      <c r="F360" t="s">
        <v>423</v>
      </c>
      <c r="G360">
        <v>40</v>
      </c>
      <c r="H360" t="s">
        <v>48</v>
      </c>
      <c r="I360" t="s">
        <v>64</v>
      </c>
      <c r="J360" t="s">
        <v>50</v>
      </c>
      <c r="K360">
        <v>0</v>
      </c>
      <c r="L360">
        <v>0</v>
      </c>
      <c r="M360">
        <v>1</v>
      </c>
      <c r="N360" t="s">
        <v>65</v>
      </c>
      <c r="O360">
        <v>0</v>
      </c>
      <c r="P360">
        <v>1</v>
      </c>
      <c r="Q360">
        <v>1</v>
      </c>
      <c r="R360" t="s">
        <v>62</v>
      </c>
      <c r="S360">
        <v>1</v>
      </c>
      <c r="T360">
        <v>0</v>
      </c>
      <c r="U360">
        <v>1</v>
      </c>
      <c r="V360" t="s">
        <v>53</v>
      </c>
      <c r="W360">
        <v>0</v>
      </c>
      <c r="X360">
        <v>1</v>
      </c>
      <c r="Y360" t="s">
        <v>52</v>
      </c>
      <c r="Z360">
        <v>1</v>
      </c>
      <c r="AA360">
        <v>1</v>
      </c>
      <c r="AB360" t="s">
        <v>359</v>
      </c>
      <c r="AC360" t="s">
        <v>98</v>
      </c>
      <c r="AD360" t="s">
        <v>98</v>
      </c>
      <c r="AE360">
        <v>1</v>
      </c>
      <c r="AF360">
        <v>1</v>
      </c>
    </row>
    <row r="361" spans="1:32" x14ac:dyDescent="0.2">
      <c r="A361" t="s">
        <v>92</v>
      </c>
      <c r="B361" t="s">
        <v>356</v>
      </c>
      <c r="C361" t="s">
        <v>357</v>
      </c>
      <c r="D361" t="s">
        <v>95</v>
      </c>
      <c r="E361" t="s">
        <v>96</v>
      </c>
      <c r="F361" t="s">
        <v>424</v>
      </c>
      <c r="G361">
        <v>41</v>
      </c>
      <c r="H361" t="s">
        <v>56</v>
      </c>
      <c r="I361" t="s">
        <v>64</v>
      </c>
      <c r="J361" t="s">
        <v>50</v>
      </c>
      <c r="K361">
        <v>0</v>
      </c>
      <c r="L361">
        <v>0</v>
      </c>
      <c r="M361">
        <v>1</v>
      </c>
      <c r="N361" t="s">
        <v>65</v>
      </c>
      <c r="O361">
        <v>0</v>
      </c>
      <c r="P361">
        <v>1</v>
      </c>
      <c r="Q361">
        <v>1</v>
      </c>
      <c r="R361" t="s">
        <v>62</v>
      </c>
      <c r="S361">
        <v>1</v>
      </c>
      <c r="T361">
        <v>0</v>
      </c>
      <c r="U361">
        <v>1</v>
      </c>
      <c r="V361" t="s">
        <v>52</v>
      </c>
      <c r="W361">
        <v>1</v>
      </c>
      <c r="X361">
        <v>1</v>
      </c>
      <c r="Y361" t="s">
        <v>52</v>
      </c>
      <c r="Z361">
        <v>1</v>
      </c>
      <c r="AA361">
        <v>1</v>
      </c>
      <c r="AB361" t="s">
        <v>359</v>
      </c>
      <c r="AC361" t="s">
        <v>98</v>
      </c>
      <c r="AD361" t="s">
        <v>98</v>
      </c>
      <c r="AE361">
        <v>1</v>
      </c>
      <c r="AF361">
        <v>1</v>
      </c>
    </row>
    <row r="362" spans="1:32" x14ac:dyDescent="0.2">
      <c r="A362" t="s">
        <v>92</v>
      </c>
      <c r="B362" t="s">
        <v>356</v>
      </c>
      <c r="C362" t="s">
        <v>357</v>
      </c>
      <c r="D362" t="s">
        <v>95</v>
      </c>
      <c r="E362" t="s">
        <v>96</v>
      </c>
      <c r="F362" t="s">
        <v>425</v>
      </c>
      <c r="G362">
        <v>37</v>
      </c>
      <c r="H362" t="s">
        <v>48</v>
      </c>
      <c r="I362" t="s">
        <v>64</v>
      </c>
      <c r="J362" t="s">
        <v>50</v>
      </c>
      <c r="K362">
        <v>0</v>
      </c>
      <c r="L362">
        <v>0</v>
      </c>
      <c r="M362">
        <v>1</v>
      </c>
      <c r="N362" t="s">
        <v>65</v>
      </c>
      <c r="O362">
        <v>0</v>
      </c>
      <c r="P362">
        <v>1</v>
      </c>
      <c r="Q362">
        <v>1</v>
      </c>
      <c r="R362" t="s">
        <v>62</v>
      </c>
      <c r="S362">
        <v>1</v>
      </c>
      <c r="T362">
        <v>0</v>
      </c>
      <c r="U362">
        <v>1</v>
      </c>
      <c r="V362" t="s">
        <v>53</v>
      </c>
      <c r="W362">
        <v>0</v>
      </c>
      <c r="X362">
        <v>1</v>
      </c>
      <c r="Y362" t="s">
        <v>53</v>
      </c>
      <c r="Z362">
        <v>0</v>
      </c>
      <c r="AA362">
        <v>1</v>
      </c>
      <c r="AB362" t="s">
        <v>359</v>
      </c>
      <c r="AC362" t="s">
        <v>98</v>
      </c>
      <c r="AD362" t="s">
        <v>98</v>
      </c>
      <c r="AE362">
        <v>1</v>
      </c>
      <c r="AF362">
        <v>1</v>
      </c>
    </row>
    <row r="363" spans="1:32" x14ac:dyDescent="0.2">
      <c r="A363" t="s">
        <v>92</v>
      </c>
      <c r="B363" t="s">
        <v>356</v>
      </c>
      <c r="C363" t="s">
        <v>357</v>
      </c>
      <c r="D363" t="s">
        <v>95</v>
      </c>
      <c r="E363" t="s">
        <v>96</v>
      </c>
      <c r="F363" t="s">
        <v>426</v>
      </c>
      <c r="G363">
        <v>44</v>
      </c>
      <c r="H363" t="s">
        <v>56</v>
      </c>
      <c r="I363" t="s">
        <v>64</v>
      </c>
      <c r="J363" t="s">
        <v>144</v>
      </c>
      <c r="K363">
        <v>0</v>
      </c>
      <c r="L363">
        <v>1</v>
      </c>
      <c r="M363">
        <v>1</v>
      </c>
      <c r="N363" t="s">
        <v>65</v>
      </c>
      <c r="O363">
        <v>0</v>
      </c>
      <c r="P363">
        <v>1</v>
      </c>
      <c r="Q363">
        <v>1</v>
      </c>
      <c r="R363" t="s">
        <v>60</v>
      </c>
      <c r="S363">
        <v>0</v>
      </c>
      <c r="T363">
        <v>1</v>
      </c>
      <c r="U363">
        <v>1</v>
      </c>
      <c r="V363" t="s">
        <v>53</v>
      </c>
      <c r="W363">
        <v>0</v>
      </c>
      <c r="X363">
        <v>1</v>
      </c>
      <c r="Y363" t="s">
        <v>53</v>
      </c>
      <c r="Z363">
        <v>0</v>
      </c>
      <c r="AA363">
        <v>1</v>
      </c>
      <c r="AB363" t="s">
        <v>359</v>
      </c>
      <c r="AC363" t="s">
        <v>98</v>
      </c>
      <c r="AD363" t="s">
        <v>98</v>
      </c>
      <c r="AE363">
        <v>1</v>
      </c>
      <c r="AF363">
        <v>1</v>
      </c>
    </row>
    <row r="364" spans="1:32" x14ac:dyDescent="0.2">
      <c r="A364" t="s">
        <v>92</v>
      </c>
      <c r="B364" t="s">
        <v>356</v>
      </c>
      <c r="C364" t="s">
        <v>357</v>
      </c>
      <c r="D364" t="s">
        <v>95</v>
      </c>
      <c r="E364" t="s">
        <v>96</v>
      </c>
      <c r="F364" t="s">
        <v>427</v>
      </c>
      <c r="G364">
        <v>30</v>
      </c>
      <c r="H364" t="s">
        <v>48</v>
      </c>
      <c r="I364" t="s">
        <v>49</v>
      </c>
      <c r="J364" t="s">
        <v>50</v>
      </c>
      <c r="K364">
        <v>0</v>
      </c>
      <c r="L364">
        <v>0</v>
      </c>
      <c r="M364">
        <v>1</v>
      </c>
      <c r="N364" t="s">
        <v>65</v>
      </c>
      <c r="O364">
        <v>0</v>
      </c>
      <c r="P364">
        <v>1</v>
      </c>
      <c r="Q364">
        <v>1</v>
      </c>
      <c r="R364" t="s">
        <v>60</v>
      </c>
      <c r="S364">
        <v>0</v>
      </c>
      <c r="T364">
        <v>1</v>
      </c>
      <c r="U364">
        <v>1</v>
      </c>
      <c r="V364" t="s">
        <v>53</v>
      </c>
      <c r="W364">
        <v>0</v>
      </c>
      <c r="X364">
        <v>1</v>
      </c>
      <c r="Y364" t="s">
        <v>53</v>
      </c>
      <c r="Z364">
        <v>0</v>
      </c>
      <c r="AA364">
        <v>1</v>
      </c>
      <c r="AB364" t="s">
        <v>359</v>
      </c>
      <c r="AC364" t="s">
        <v>98</v>
      </c>
      <c r="AD364" t="s">
        <v>98</v>
      </c>
      <c r="AE364">
        <v>1</v>
      </c>
      <c r="AF364">
        <v>1</v>
      </c>
    </row>
    <row r="365" spans="1:32" x14ac:dyDescent="0.2">
      <c r="A365" t="s">
        <v>92</v>
      </c>
      <c r="B365" t="s">
        <v>356</v>
      </c>
      <c r="C365" t="s">
        <v>357</v>
      </c>
      <c r="D365" t="s">
        <v>95</v>
      </c>
      <c r="E365" t="s">
        <v>96</v>
      </c>
      <c r="F365" t="s">
        <v>428</v>
      </c>
      <c r="G365">
        <v>39</v>
      </c>
      <c r="H365" t="s">
        <v>56</v>
      </c>
      <c r="I365" t="s">
        <v>64</v>
      </c>
      <c r="J365" t="s">
        <v>50</v>
      </c>
      <c r="K365">
        <v>0</v>
      </c>
      <c r="L365">
        <v>0</v>
      </c>
      <c r="M365">
        <v>1</v>
      </c>
      <c r="N365" t="s">
        <v>50</v>
      </c>
      <c r="O365">
        <v>0</v>
      </c>
      <c r="P365">
        <v>0</v>
      </c>
      <c r="Q365">
        <v>1</v>
      </c>
      <c r="R365" t="s">
        <v>62</v>
      </c>
      <c r="S365">
        <v>1</v>
      </c>
      <c r="T365">
        <v>0</v>
      </c>
      <c r="U365">
        <v>1</v>
      </c>
      <c r="V365" t="s">
        <v>52</v>
      </c>
      <c r="W365">
        <v>1</v>
      </c>
      <c r="X365">
        <v>1</v>
      </c>
      <c r="Y365" t="s">
        <v>53</v>
      </c>
      <c r="Z365">
        <v>0</v>
      </c>
      <c r="AA365">
        <v>1</v>
      </c>
      <c r="AB365" t="s">
        <v>359</v>
      </c>
      <c r="AC365" t="s">
        <v>98</v>
      </c>
      <c r="AD365" t="s">
        <v>98</v>
      </c>
      <c r="AE365">
        <v>1</v>
      </c>
      <c r="AF365">
        <v>1</v>
      </c>
    </row>
    <row r="366" spans="1:32" x14ac:dyDescent="0.2">
      <c r="A366" t="s">
        <v>92</v>
      </c>
      <c r="B366" t="s">
        <v>356</v>
      </c>
      <c r="C366" t="s">
        <v>357</v>
      </c>
      <c r="D366" t="s">
        <v>95</v>
      </c>
      <c r="E366" t="s">
        <v>96</v>
      </c>
      <c r="F366" t="s">
        <v>429</v>
      </c>
      <c r="G366">
        <v>27</v>
      </c>
      <c r="H366" t="s">
        <v>56</v>
      </c>
      <c r="I366" t="s">
        <v>49</v>
      </c>
      <c r="J366" t="s">
        <v>50</v>
      </c>
      <c r="K366">
        <v>0</v>
      </c>
      <c r="L366">
        <v>0</v>
      </c>
      <c r="M366">
        <v>1</v>
      </c>
      <c r="N366" t="s">
        <v>50</v>
      </c>
      <c r="O366">
        <v>0</v>
      </c>
      <c r="P366">
        <v>0</v>
      </c>
      <c r="Q366">
        <v>1</v>
      </c>
      <c r="R366" t="s">
        <v>51</v>
      </c>
      <c r="S366">
        <v>0</v>
      </c>
      <c r="T366">
        <v>0</v>
      </c>
      <c r="U366">
        <v>1</v>
      </c>
      <c r="V366" t="s">
        <v>53</v>
      </c>
      <c r="W366">
        <v>0</v>
      </c>
      <c r="X366">
        <v>1</v>
      </c>
      <c r="Y366" t="s">
        <v>53</v>
      </c>
      <c r="Z366">
        <v>0</v>
      </c>
      <c r="AA366">
        <v>1</v>
      </c>
      <c r="AB366" t="s">
        <v>359</v>
      </c>
      <c r="AC366" t="s">
        <v>98</v>
      </c>
      <c r="AD366" t="s">
        <v>98</v>
      </c>
      <c r="AE366">
        <v>1</v>
      </c>
      <c r="AF366">
        <v>1</v>
      </c>
    </row>
    <row r="367" spans="1:32" x14ac:dyDescent="0.2">
      <c r="A367" t="s">
        <v>92</v>
      </c>
      <c r="B367" t="s">
        <v>356</v>
      </c>
      <c r="C367" t="s">
        <v>357</v>
      </c>
      <c r="D367" t="s">
        <v>112</v>
      </c>
      <c r="E367" t="s">
        <v>113</v>
      </c>
      <c r="F367" t="s">
        <v>430</v>
      </c>
      <c r="G367">
        <v>38</v>
      </c>
      <c r="H367" t="s">
        <v>48</v>
      </c>
      <c r="I367" t="s">
        <v>64</v>
      </c>
      <c r="J367" t="s">
        <v>50</v>
      </c>
      <c r="K367">
        <v>0</v>
      </c>
      <c r="L367">
        <v>0</v>
      </c>
      <c r="M367">
        <v>1</v>
      </c>
      <c r="N367" t="s">
        <v>50</v>
      </c>
      <c r="O367">
        <v>0</v>
      </c>
      <c r="P367">
        <v>0</v>
      </c>
      <c r="Q367">
        <v>1</v>
      </c>
      <c r="R367" t="s">
        <v>62</v>
      </c>
      <c r="S367">
        <v>1</v>
      </c>
      <c r="T367">
        <v>0</v>
      </c>
      <c r="U367">
        <v>1</v>
      </c>
      <c r="V367" t="s">
        <v>53</v>
      </c>
      <c r="W367">
        <v>0</v>
      </c>
      <c r="X367">
        <v>1</v>
      </c>
      <c r="Y367" t="s">
        <v>52</v>
      </c>
      <c r="Z367">
        <v>1</v>
      </c>
      <c r="AA367">
        <v>1</v>
      </c>
      <c r="AB367" t="s">
        <v>359</v>
      </c>
      <c r="AC367" t="s">
        <v>98</v>
      </c>
      <c r="AD367" t="s">
        <v>98</v>
      </c>
      <c r="AE367">
        <v>1</v>
      </c>
      <c r="AF367">
        <v>1</v>
      </c>
    </row>
    <row r="368" spans="1:32" x14ac:dyDescent="0.2">
      <c r="A368" t="s">
        <v>92</v>
      </c>
      <c r="B368" t="s">
        <v>356</v>
      </c>
      <c r="C368" t="s">
        <v>357</v>
      </c>
      <c r="D368" t="s">
        <v>95</v>
      </c>
      <c r="E368" t="s">
        <v>96</v>
      </c>
      <c r="F368" t="s">
        <v>431</v>
      </c>
      <c r="G368">
        <v>31</v>
      </c>
      <c r="H368" t="s">
        <v>48</v>
      </c>
      <c r="I368" t="s">
        <v>49</v>
      </c>
      <c r="J368" t="s">
        <v>144</v>
      </c>
      <c r="K368">
        <v>0</v>
      </c>
      <c r="L368">
        <v>1</v>
      </c>
      <c r="M368">
        <v>1</v>
      </c>
      <c r="N368" t="s">
        <v>50</v>
      </c>
      <c r="O368">
        <v>0</v>
      </c>
      <c r="P368">
        <v>0</v>
      </c>
      <c r="Q368">
        <v>1</v>
      </c>
      <c r="R368" t="s">
        <v>62</v>
      </c>
      <c r="S368">
        <v>1</v>
      </c>
      <c r="T368">
        <v>0</v>
      </c>
      <c r="U368">
        <v>1</v>
      </c>
      <c r="V368" t="s">
        <v>53</v>
      </c>
      <c r="W368">
        <v>0</v>
      </c>
      <c r="X368">
        <v>1</v>
      </c>
      <c r="Y368" t="s">
        <v>53</v>
      </c>
      <c r="Z368">
        <v>0</v>
      </c>
      <c r="AA368">
        <v>1</v>
      </c>
      <c r="AB368" t="s">
        <v>359</v>
      </c>
      <c r="AC368" t="s">
        <v>98</v>
      </c>
      <c r="AD368" t="s">
        <v>98</v>
      </c>
      <c r="AE368">
        <v>1</v>
      </c>
      <c r="AF368">
        <v>1</v>
      </c>
    </row>
    <row r="369" spans="1:32" x14ac:dyDescent="0.2">
      <c r="A369" t="s">
        <v>92</v>
      </c>
      <c r="B369" t="s">
        <v>356</v>
      </c>
      <c r="C369" t="s">
        <v>357</v>
      </c>
      <c r="D369" t="s">
        <v>95</v>
      </c>
      <c r="E369" t="s">
        <v>96</v>
      </c>
      <c r="F369" t="s">
        <v>432</v>
      </c>
      <c r="G369">
        <v>40</v>
      </c>
      <c r="H369" t="s">
        <v>48</v>
      </c>
      <c r="I369" t="s">
        <v>64</v>
      </c>
      <c r="J369" t="s">
        <v>59</v>
      </c>
      <c r="K369">
        <v>1</v>
      </c>
      <c r="L369">
        <v>0</v>
      </c>
      <c r="M369">
        <v>1</v>
      </c>
      <c r="N369" t="s">
        <v>65</v>
      </c>
      <c r="O369">
        <v>0</v>
      </c>
      <c r="P369">
        <v>1</v>
      </c>
      <c r="Q369">
        <v>1</v>
      </c>
      <c r="R369" t="s">
        <v>60</v>
      </c>
      <c r="S369">
        <v>0</v>
      </c>
      <c r="T369">
        <v>1</v>
      </c>
      <c r="U369">
        <v>1</v>
      </c>
      <c r="V369" t="s">
        <v>53</v>
      </c>
      <c r="W369">
        <v>0</v>
      </c>
      <c r="X369">
        <v>1</v>
      </c>
      <c r="Y369" t="s">
        <v>53</v>
      </c>
      <c r="Z369">
        <v>0</v>
      </c>
      <c r="AA369">
        <v>1</v>
      </c>
      <c r="AB369" t="s">
        <v>359</v>
      </c>
      <c r="AC369" t="s">
        <v>98</v>
      </c>
      <c r="AD369" t="s">
        <v>98</v>
      </c>
      <c r="AE369">
        <v>1</v>
      </c>
      <c r="AF369">
        <v>1</v>
      </c>
    </row>
    <row r="370" spans="1:32" x14ac:dyDescent="0.2">
      <c r="A370" t="s">
        <v>92</v>
      </c>
      <c r="B370" t="s">
        <v>356</v>
      </c>
      <c r="C370" t="s">
        <v>357</v>
      </c>
      <c r="D370" t="s">
        <v>112</v>
      </c>
      <c r="E370" t="s">
        <v>113</v>
      </c>
      <c r="F370" t="s">
        <v>433</v>
      </c>
      <c r="G370">
        <v>26</v>
      </c>
      <c r="H370" t="s">
        <v>48</v>
      </c>
      <c r="I370" t="s">
        <v>49</v>
      </c>
      <c r="J370" t="s">
        <v>50</v>
      </c>
      <c r="K370">
        <v>0</v>
      </c>
      <c r="L370">
        <v>0</v>
      </c>
      <c r="M370">
        <v>1</v>
      </c>
      <c r="N370" t="s">
        <v>50</v>
      </c>
      <c r="O370">
        <v>0</v>
      </c>
      <c r="P370">
        <v>0</v>
      </c>
      <c r="Q370">
        <v>1</v>
      </c>
      <c r="R370" t="s">
        <v>62</v>
      </c>
      <c r="S370">
        <v>1</v>
      </c>
      <c r="T370">
        <v>0</v>
      </c>
      <c r="U370">
        <v>1</v>
      </c>
      <c r="V370" t="s">
        <v>53</v>
      </c>
      <c r="W370">
        <v>0</v>
      </c>
      <c r="X370">
        <v>1</v>
      </c>
      <c r="Y370" t="s">
        <v>53</v>
      </c>
      <c r="Z370">
        <v>0</v>
      </c>
      <c r="AA370">
        <v>1</v>
      </c>
      <c r="AB370" t="s">
        <v>359</v>
      </c>
      <c r="AC370" t="s">
        <v>98</v>
      </c>
      <c r="AD370" t="s">
        <v>98</v>
      </c>
      <c r="AE370">
        <v>1</v>
      </c>
      <c r="AF370">
        <v>1</v>
      </c>
    </row>
    <row r="371" spans="1:32" x14ac:dyDescent="0.2">
      <c r="A371" t="s">
        <v>92</v>
      </c>
      <c r="B371" t="s">
        <v>356</v>
      </c>
      <c r="C371" t="s">
        <v>357</v>
      </c>
      <c r="D371" t="s">
        <v>95</v>
      </c>
      <c r="E371" t="s">
        <v>96</v>
      </c>
      <c r="F371" t="s">
        <v>434</v>
      </c>
      <c r="G371">
        <v>46</v>
      </c>
      <c r="H371" t="s">
        <v>48</v>
      </c>
      <c r="I371" t="s">
        <v>70</v>
      </c>
      <c r="J371" t="s">
        <v>50</v>
      </c>
      <c r="K371">
        <v>0</v>
      </c>
      <c r="L371">
        <v>0</v>
      </c>
      <c r="M371">
        <v>1</v>
      </c>
      <c r="N371" t="s">
        <v>65</v>
      </c>
      <c r="O371">
        <v>0</v>
      </c>
      <c r="P371">
        <v>1</v>
      </c>
      <c r="Q371">
        <v>1</v>
      </c>
      <c r="R371" t="s">
        <v>60</v>
      </c>
      <c r="S371">
        <v>0</v>
      </c>
      <c r="T371">
        <v>1</v>
      </c>
      <c r="U371">
        <v>1</v>
      </c>
      <c r="V371" t="s">
        <v>53</v>
      </c>
      <c r="W371">
        <v>0</v>
      </c>
      <c r="X371">
        <v>1</v>
      </c>
      <c r="Y371" t="s">
        <v>52</v>
      </c>
      <c r="Z371">
        <v>1</v>
      </c>
      <c r="AA371">
        <v>1</v>
      </c>
      <c r="AB371" t="s">
        <v>359</v>
      </c>
      <c r="AC371" t="s">
        <v>98</v>
      </c>
      <c r="AD371" t="s">
        <v>98</v>
      </c>
      <c r="AE371">
        <v>1</v>
      </c>
      <c r="AF371">
        <v>1</v>
      </c>
    </row>
    <row r="372" spans="1:32" x14ac:dyDescent="0.2">
      <c r="A372" t="s">
        <v>92</v>
      </c>
      <c r="B372" t="s">
        <v>356</v>
      </c>
      <c r="C372" t="s">
        <v>357</v>
      </c>
      <c r="D372" t="s">
        <v>95</v>
      </c>
      <c r="E372" t="s">
        <v>96</v>
      </c>
      <c r="F372" t="s">
        <v>435</v>
      </c>
      <c r="G372">
        <v>43</v>
      </c>
      <c r="H372" t="s">
        <v>48</v>
      </c>
      <c r="I372" t="s">
        <v>64</v>
      </c>
      <c r="J372" t="s">
        <v>50</v>
      </c>
      <c r="K372">
        <v>0</v>
      </c>
      <c r="L372">
        <v>0</v>
      </c>
      <c r="M372">
        <v>1</v>
      </c>
      <c r="N372" t="s">
        <v>73</v>
      </c>
      <c r="O372">
        <v>1</v>
      </c>
      <c r="P372">
        <v>0</v>
      </c>
      <c r="Q372">
        <v>1</v>
      </c>
      <c r="R372" t="s">
        <v>62</v>
      </c>
      <c r="S372">
        <v>1</v>
      </c>
      <c r="T372">
        <v>0</v>
      </c>
      <c r="U372">
        <v>1</v>
      </c>
      <c r="V372" t="s">
        <v>53</v>
      </c>
      <c r="W372">
        <v>0</v>
      </c>
      <c r="X372">
        <v>1</v>
      </c>
      <c r="Y372" t="s">
        <v>53</v>
      </c>
      <c r="Z372">
        <v>0</v>
      </c>
      <c r="AA372">
        <v>1</v>
      </c>
      <c r="AB372" t="s">
        <v>359</v>
      </c>
      <c r="AC372" t="s">
        <v>98</v>
      </c>
      <c r="AD372" t="s">
        <v>98</v>
      </c>
      <c r="AE372">
        <v>1</v>
      </c>
      <c r="AF372">
        <v>1</v>
      </c>
    </row>
    <row r="373" spans="1:32" x14ac:dyDescent="0.2">
      <c r="A373" t="s">
        <v>92</v>
      </c>
      <c r="B373" t="s">
        <v>356</v>
      </c>
      <c r="C373" t="s">
        <v>357</v>
      </c>
      <c r="D373" t="s">
        <v>95</v>
      </c>
      <c r="E373" t="s">
        <v>96</v>
      </c>
      <c r="F373" t="s">
        <v>436</v>
      </c>
      <c r="G373">
        <v>45</v>
      </c>
      <c r="H373" t="s">
        <v>56</v>
      </c>
      <c r="I373" t="s">
        <v>64</v>
      </c>
      <c r="J373" t="s">
        <v>50</v>
      </c>
      <c r="K373">
        <v>0</v>
      </c>
      <c r="L373">
        <v>0</v>
      </c>
      <c r="M373">
        <v>1</v>
      </c>
      <c r="N373" t="s">
        <v>65</v>
      </c>
      <c r="O373">
        <v>0</v>
      </c>
      <c r="P373">
        <v>1</v>
      </c>
      <c r="Q373">
        <v>1</v>
      </c>
      <c r="R373" t="s">
        <v>62</v>
      </c>
      <c r="S373">
        <v>1</v>
      </c>
      <c r="T373">
        <v>0</v>
      </c>
      <c r="U373">
        <v>1</v>
      </c>
      <c r="V373" t="s">
        <v>53</v>
      </c>
      <c r="W373">
        <v>0</v>
      </c>
      <c r="X373">
        <v>1</v>
      </c>
      <c r="Y373" t="s">
        <v>53</v>
      </c>
      <c r="Z373">
        <v>0</v>
      </c>
      <c r="AA373">
        <v>1</v>
      </c>
      <c r="AB373" t="s">
        <v>359</v>
      </c>
      <c r="AC373" t="s">
        <v>98</v>
      </c>
      <c r="AD373" t="s">
        <v>98</v>
      </c>
      <c r="AE373">
        <v>1</v>
      </c>
      <c r="AF373">
        <v>1</v>
      </c>
    </row>
    <row r="374" spans="1:32" x14ac:dyDescent="0.2">
      <c r="A374" t="s">
        <v>92</v>
      </c>
      <c r="B374" t="s">
        <v>356</v>
      </c>
      <c r="C374" t="s">
        <v>357</v>
      </c>
      <c r="D374" t="s">
        <v>95</v>
      </c>
      <c r="E374" t="s">
        <v>96</v>
      </c>
      <c r="F374" t="s">
        <v>437</v>
      </c>
      <c r="G374">
        <v>42</v>
      </c>
      <c r="H374" t="s">
        <v>48</v>
      </c>
      <c r="I374" t="s">
        <v>64</v>
      </c>
      <c r="J374" t="s">
        <v>50</v>
      </c>
      <c r="K374">
        <v>0</v>
      </c>
      <c r="L374">
        <v>0</v>
      </c>
      <c r="M374">
        <v>1</v>
      </c>
      <c r="N374" t="s">
        <v>73</v>
      </c>
      <c r="O374">
        <v>1</v>
      </c>
      <c r="P374">
        <v>0</v>
      </c>
      <c r="Q374">
        <v>1</v>
      </c>
      <c r="R374" t="s">
        <v>62</v>
      </c>
      <c r="S374">
        <v>1</v>
      </c>
      <c r="T374">
        <v>0</v>
      </c>
      <c r="U374">
        <v>1</v>
      </c>
      <c r="V374" t="s">
        <v>53</v>
      </c>
      <c r="W374">
        <v>0</v>
      </c>
      <c r="X374">
        <v>1</v>
      </c>
      <c r="Y374" t="s">
        <v>52</v>
      </c>
      <c r="Z374">
        <v>1</v>
      </c>
      <c r="AA374">
        <v>1</v>
      </c>
      <c r="AB374" t="s">
        <v>359</v>
      </c>
      <c r="AC374" t="s">
        <v>98</v>
      </c>
      <c r="AD374" t="s">
        <v>98</v>
      </c>
      <c r="AE374">
        <v>1</v>
      </c>
      <c r="AF374">
        <v>1</v>
      </c>
    </row>
    <row r="375" spans="1:32" x14ac:dyDescent="0.2">
      <c r="A375" t="s">
        <v>92</v>
      </c>
      <c r="B375" t="s">
        <v>356</v>
      </c>
      <c r="C375" t="s">
        <v>357</v>
      </c>
      <c r="D375" t="s">
        <v>112</v>
      </c>
      <c r="E375" t="s">
        <v>113</v>
      </c>
      <c r="F375" t="s">
        <v>438</v>
      </c>
      <c r="G375">
        <v>37</v>
      </c>
      <c r="H375" t="s">
        <v>48</v>
      </c>
      <c r="I375" t="s">
        <v>64</v>
      </c>
      <c r="J375" t="s">
        <v>50</v>
      </c>
      <c r="K375">
        <v>0</v>
      </c>
      <c r="L375">
        <v>0</v>
      </c>
      <c r="M375">
        <v>1</v>
      </c>
      <c r="N375" t="s">
        <v>50</v>
      </c>
      <c r="O375">
        <v>0</v>
      </c>
      <c r="P375">
        <v>0</v>
      </c>
      <c r="Q375">
        <v>1</v>
      </c>
      <c r="R375" t="s">
        <v>60</v>
      </c>
      <c r="S375">
        <v>0</v>
      </c>
      <c r="T375">
        <v>1</v>
      </c>
      <c r="U375">
        <v>1</v>
      </c>
      <c r="V375" t="s">
        <v>53</v>
      </c>
      <c r="W375">
        <v>0</v>
      </c>
      <c r="X375">
        <v>1</v>
      </c>
      <c r="Y375" t="s">
        <v>53</v>
      </c>
      <c r="Z375">
        <v>0</v>
      </c>
      <c r="AA375">
        <v>1</v>
      </c>
      <c r="AB375" t="s">
        <v>359</v>
      </c>
      <c r="AC375" t="s">
        <v>98</v>
      </c>
      <c r="AD375" t="s">
        <v>98</v>
      </c>
      <c r="AE375">
        <v>1</v>
      </c>
      <c r="AF375">
        <v>1</v>
      </c>
    </row>
    <row r="376" spans="1:32" x14ac:dyDescent="0.2">
      <c r="A376" t="s">
        <v>92</v>
      </c>
      <c r="B376" t="s">
        <v>356</v>
      </c>
      <c r="C376" t="s">
        <v>357</v>
      </c>
      <c r="D376" t="s">
        <v>112</v>
      </c>
      <c r="E376" t="s">
        <v>113</v>
      </c>
      <c r="F376" t="s">
        <v>439</v>
      </c>
      <c r="G376">
        <v>28</v>
      </c>
      <c r="H376" t="s">
        <v>48</v>
      </c>
      <c r="I376" t="s">
        <v>49</v>
      </c>
      <c r="J376" t="s">
        <v>144</v>
      </c>
      <c r="K376">
        <v>0</v>
      </c>
      <c r="L376">
        <v>1</v>
      </c>
      <c r="M376">
        <v>1</v>
      </c>
      <c r="N376" t="s">
        <v>65</v>
      </c>
      <c r="O376">
        <v>0</v>
      </c>
      <c r="P376">
        <v>1</v>
      </c>
      <c r="Q376">
        <v>1</v>
      </c>
      <c r="R376" t="s">
        <v>62</v>
      </c>
      <c r="S376">
        <v>1</v>
      </c>
      <c r="T376">
        <v>0</v>
      </c>
      <c r="U376">
        <v>1</v>
      </c>
      <c r="V376" t="s">
        <v>53</v>
      </c>
      <c r="W376">
        <v>0</v>
      </c>
      <c r="X376">
        <v>1</v>
      </c>
      <c r="Y376" t="s">
        <v>52</v>
      </c>
      <c r="Z376">
        <v>1</v>
      </c>
      <c r="AA376">
        <v>1</v>
      </c>
      <c r="AB376" t="s">
        <v>359</v>
      </c>
      <c r="AC376" t="s">
        <v>98</v>
      </c>
      <c r="AD376" t="s">
        <v>98</v>
      </c>
      <c r="AE376">
        <v>1</v>
      </c>
      <c r="AF376">
        <v>1</v>
      </c>
    </row>
    <row r="377" spans="1:32" x14ac:dyDescent="0.2">
      <c r="A377" t="s">
        <v>92</v>
      </c>
      <c r="B377" t="s">
        <v>356</v>
      </c>
      <c r="C377" t="s">
        <v>357</v>
      </c>
      <c r="D377" t="s">
        <v>371</v>
      </c>
      <c r="E377" t="s">
        <v>372</v>
      </c>
      <c r="F377" t="s">
        <v>440</v>
      </c>
      <c r="G377">
        <v>43</v>
      </c>
      <c r="H377" t="s">
        <v>48</v>
      </c>
      <c r="I377" t="s">
        <v>64</v>
      </c>
      <c r="J377" t="s">
        <v>144</v>
      </c>
      <c r="K377">
        <v>0</v>
      </c>
      <c r="L377">
        <v>1</v>
      </c>
      <c r="M377">
        <v>1</v>
      </c>
      <c r="N377" t="s">
        <v>65</v>
      </c>
      <c r="O377">
        <v>0</v>
      </c>
      <c r="P377">
        <v>1</v>
      </c>
      <c r="Q377">
        <v>1</v>
      </c>
      <c r="R377" t="s">
        <v>60</v>
      </c>
      <c r="S377">
        <v>0</v>
      </c>
      <c r="T377">
        <v>1</v>
      </c>
      <c r="U377">
        <v>1</v>
      </c>
      <c r="V377" t="s">
        <v>53</v>
      </c>
      <c r="W377">
        <v>0</v>
      </c>
      <c r="X377">
        <v>1</v>
      </c>
      <c r="Y377" t="s">
        <v>52</v>
      </c>
      <c r="Z377">
        <v>1</v>
      </c>
      <c r="AA377">
        <v>1</v>
      </c>
      <c r="AB377" t="s">
        <v>359</v>
      </c>
      <c r="AC377" t="s">
        <v>98</v>
      </c>
      <c r="AD377" t="s">
        <v>98</v>
      </c>
      <c r="AE377">
        <v>1</v>
      </c>
      <c r="AF377">
        <v>1</v>
      </c>
    </row>
    <row r="378" spans="1:32" x14ac:dyDescent="0.2">
      <c r="A378" t="s">
        <v>92</v>
      </c>
      <c r="B378" t="s">
        <v>356</v>
      </c>
      <c r="C378" t="s">
        <v>357</v>
      </c>
      <c r="D378" t="s">
        <v>112</v>
      </c>
      <c r="I378" t="s">
        <v>85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S378">
        <v>0</v>
      </c>
      <c r="T378">
        <v>0</v>
      </c>
      <c r="U378">
        <v>0</v>
      </c>
      <c r="W378">
        <v>0</v>
      </c>
      <c r="X378">
        <v>0</v>
      </c>
      <c r="Y378" t="s">
        <v>91</v>
      </c>
      <c r="Z378">
        <v>0</v>
      </c>
      <c r="AA378">
        <v>0</v>
      </c>
      <c r="AB378" t="s">
        <v>91</v>
      </c>
      <c r="AE378">
        <v>0</v>
      </c>
      <c r="AF378">
        <v>0</v>
      </c>
    </row>
    <row r="379" spans="1:32" x14ac:dyDescent="0.2">
      <c r="A379" t="s">
        <v>92</v>
      </c>
      <c r="B379" t="s">
        <v>356</v>
      </c>
      <c r="C379" t="s">
        <v>357</v>
      </c>
      <c r="D379" t="s">
        <v>112</v>
      </c>
      <c r="I379" t="s">
        <v>85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S379">
        <v>0</v>
      </c>
      <c r="T379">
        <v>0</v>
      </c>
      <c r="U379">
        <v>0</v>
      </c>
      <c r="W379">
        <v>0</v>
      </c>
      <c r="X379">
        <v>0</v>
      </c>
      <c r="Y379" t="s">
        <v>91</v>
      </c>
      <c r="Z379">
        <v>0</v>
      </c>
      <c r="AA379">
        <v>0</v>
      </c>
      <c r="AB379" t="s">
        <v>91</v>
      </c>
      <c r="AE379">
        <v>0</v>
      </c>
      <c r="AF379">
        <v>0</v>
      </c>
    </row>
    <row r="380" spans="1:32" x14ac:dyDescent="0.2">
      <c r="A380" t="s">
        <v>92</v>
      </c>
      <c r="B380" t="s">
        <v>356</v>
      </c>
      <c r="C380" t="s">
        <v>357</v>
      </c>
      <c r="D380" t="s">
        <v>112</v>
      </c>
      <c r="I380" t="s">
        <v>85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S380">
        <v>0</v>
      </c>
      <c r="T380">
        <v>0</v>
      </c>
      <c r="U380">
        <v>0</v>
      </c>
      <c r="W380">
        <v>0</v>
      </c>
      <c r="X380">
        <v>0</v>
      </c>
      <c r="Y380" t="s">
        <v>91</v>
      </c>
      <c r="Z380">
        <v>0</v>
      </c>
      <c r="AA380">
        <v>0</v>
      </c>
      <c r="AB380" t="s">
        <v>91</v>
      </c>
      <c r="AD380" t="s">
        <v>131</v>
      </c>
      <c r="AE380">
        <v>0</v>
      </c>
      <c r="AF380">
        <v>0</v>
      </c>
    </row>
    <row r="381" spans="1:32" x14ac:dyDescent="0.2">
      <c r="A381" t="s">
        <v>92</v>
      </c>
      <c r="B381" t="s">
        <v>356</v>
      </c>
      <c r="C381" t="s">
        <v>357</v>
      </c>
      <c r="D381" t="s">
        <v>112</v>
      </c>
      <c r="F381" t="s">
        <v>441</v>
      </c>
      <c r="I381" t="s">
        <v>85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0</v>
      </c>
      <c r="S381">
        <v>0</v>
      </c>
      <c r="T381">
        <v>0</v>
      </c>
      <c r="U381">
        <v>0</v>
      </c>
      <c r="W381">
        <v>0</v>
      </c>
      <c r="X381">
        <v>0</v>
      </c>
      <c r="Y381" t="s">
        <v>91</v>
      </c>
      <c r="Z381">
        <v>0</v>
      </c>
      <c r="AA381">
        <v>0</v>
      </c>
      <c r="AB381" t="s">
        <v>91</v>
      </c>
      <c r="AE381">
        <v>0</v>
      </c>
      <c r="AF381">
        <v>0</v>
      </c>
    </row>
    <row r="382" spans="1:32" x14ac:dyDescent="0.2">
      <c r="A382" t="s">
        <v>92</v>
      </c>
      <c r="B382" t="s">
        <v>356</v>
      </c>
      <c r="C382" t="s">
        <v>357</v>
      </c>
      <c r="D382" t="s">
        <v>112</v>
      </c>
      <c r="I382" t="s">
        <v>85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0</v>
      </c>
      <c r="S382">
        <v>0</v>
      </c>
      <c r="T382">
        <v>0</v>
      </c>
      <c r="U382">
        <v>0</v>
      </c>
      <c r="W382">
        <v>0</v>
      </c>
      <c r="X382">
        <v>0</v>
      </c>
      <c r="Y382" t="s">
        <v>91</v>
      </c>
      <c r="Z382">
        <v>0</v>
      </c>
      <c r="AA382">
        <v>0</v>
      </c>
      <c r="AB382" t="s">
        <v>91</v>
      </c>
      <c r="AE382">
        <v>0</v>
      </c>
      <c r="AF382">
        <v>0</v>
      </c>
    </row>
    <row r="383" spans="1:32" x14ac:dyDescent="0.2">
      <c r="A383" t="s">
        <v>92</v>
      </c>
      <c r="B383" t="s">
        <v>356</v>
      </c>
      <c r="C383" t="s">
        <v>357</v>
      </c>
      <c r="D383" t="s">
        <v>112</v>
      </c>
      <c r="I383" t="s">
        <v>85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0</v>
      </c>
      <c r="W383">
        <v>0</v>
      </c>
      <c r="X383">
        <v>0</v>
      </c>
      <c r="Y383" t="s">
        <v>91</v>
      </c>
      <c r="Z383">
        <v>0</v>
      </c>
      <c r="AA383">
        <v>0</v>
      </c>
      <c r="AB383" t="s">
        <v>91</v>
      </c>
      <c r="AE383">
        <v>0</v>
      </c>
      <c r="AF383">
        <v>0</v>
      </c>
    </row>
    <row r="384" spans="1:32" x14ac:dyDescent="0.2">
      <c r="A384" t="s">
        <v>92</v>
      </c>
      <c r="B384" t="s">
        <v>356</v>
      </c>
      <c r="C384" t="s">
        <v>357</v>
      </c>
      <c r="D384" t="s">
        <v>112</v>
      </c>
      <c r="I384" t="s">
        <v>85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S384">
        <v>0</v>
      </c>
      <c r="T384">
        <v>0</v>
      </c>
      <c r="U384">
        <v>0</v>
      </c>
      <c r="W384">
        <v>0</v>
      </c>
      <c r="X384">
        <v>0</v>
      </c>
      <c r="Y384" t="s">
        <v>91</v>
      </c>
      <c r="Z384">
        <v>0</v>
      </c>
      <c r="AA384">
        <v>0</v>
      </c>
      <c r="AB384" t="s">
        <v>91</v>
      </c>
      <c r="AE384">
        <v>0</v>
      </c>
      <c r="AF384">
        <v>0</v>
      </c>
    </row>
    <row r="385" spans="1:32" x14ac:dyDescent="0.2">
      <c r="A385" t="s">
        <v>92</v>
      </c>
      <c r="B385" t="s">
        <v>356</v>
      </c>
      <c r="C385" t="s">
        <v>357</v>
      </c>
      <c r="D385" t="s">
        <v>112</v>
      </c>
      <c r="I385" t="s">
        <v>85</v>
      </c>
      <c r="K385">
        <v>0</v>
      </c>
      <c r="L385">
        <v>0</v>
      </c>
      <c r="M385">
        <v>0</v>
      </c>
      <c r="O385">
        <v>0</v>
      </c>
      <c r="P385">
        <v>0</v>
      </c>
      <c r="Q385">
        <v>0</v>
      </c>
      <c r="S385">
        <v>0</v>
      </c>
      <c r="T385">
        <v>0</v>
      </c>
      <c r="U385">
        <v>0</v>
      </c>
      <c r="W385">
        <v>0</v>
      </c>
      <c r="X385">
        <v>0</v>
      </c>
      <c r="Y385" t="s">
        <v>91</v>
      </c>
      <c r="Z385">
        <v>0</v>
      </c>
      <c r="AA385">
        <v>0</v>
      </c>
      <c r="AB385" t="s">
        <v>91</v>
      </c>
      <c r="AE385">
        <v>0</v>
      </c>
      <c r="AF385">
        <v>0</v>
      </c>
    </row>
    <row r="386" spans="1:32" x14ac:dyDescent="0.2">
      <c r="A386" t="s">
        <v>92</v>
      </c>
      <c r="B386" t="s">
        <v>356</v>
      </c>
      <c r="C386" t="s">
        <v>357</v>
      </c>
      <c r="D386" t="s">
        <v>112</v>
      </c>
      <c r="I386" t="s">
        <v>85</v>
      </c>
      <c r="K386">
        <v>0</v>
      </c>
      <c r="L386">
        <v>0</v>
      </c>
      <c r="M386">
        <v>0</v>
      </c>
      <c r="O386">
        <v>0</v>
      </c>
      <c r="P386">
        <v>0</v>
      </c>
      <c r="Q386">
        <v>0</v>
      </c>
      <c r="S386">
        <v>0</v>
      </c>
      <c r="T386">
        <v>0</v>
      </c>
      <c r="U386">
        <v>0</v>
      </c>
      <c r="W386">
        <v>0</v>
      </c>
      <c r="X386">
        <v>0</v>
      </c>
      <c r="Y386" t="s">
        <v>91</v>
      </c>
      <c r="Z386">
        <v>0</v>
      </c>
      <c r="AA386">
        <v>0</v>
      </c>
      <c r="AB386" t="s">
        <v>91</v>
      </c>
      <c r="AE386">
        <v>0</v>
      </c>
      <c r="AF386">
        <v>0</v>
      </c>
    </row>
    <row r="387" spans="1:32" x14ac:dyDescent="0.2">
      <c r="A387" t="s">
        <v>92</v>
      </c>
      <c r="B387" t="s">
        <v>442</v>
      </c>
      <c r="C387" t="s">
        <v>443</v>
      </c>
      <c r="D387" t="s">
        <v>371</v>
      </c>
      <c r="E387" t="s">
        <v>372</v>
      </c>
      <c r="F387" t="s">
        <v>444</v>
      </c>
      <c r="G387">
        <v>38</v>
      </c>
      <c r="H387" t="s">
        <v>56</v>
      </c>
      <c r="I387" t="s">
        <v>64</v>
      </c>
      <c r="J387" t="s">
        <v>50</v>
      </c>
      <c r="K387">
        <v>0</v>
      </c>
      <c r="L387">
        <v>0</v>
      </c>
      <c r="M387">
        <v>1</v>
      </c>
      <c r="O387">
        <v>0</v>
      </c>
      <c r="P387">
        <v>0</v>
      </c>
      <c r="Q387">
        <v>0</v>
      </c>
      <c r="R387" t="s">
        <v>62</v>
      </c>
      <c r="S387">
        <v>1</v>
      </c>
      <c r="T387">
        <v>0</v>
      </c>
      <c r="U387">
        <v>1</v>
      </c>
      <c r="V387" t="s">
        <v>53</v>
      </c>
      <c r="W387">
        <v>0</v>
      </c>
      <c r="X387">
        <v>1</v>
      </c>
      <c r="Y387" t="s">
        <v>53</v>
      </c>
      <c r="Z387">
        <v>0</v>
      </c>
      <c r="AA387">
        <v>1</v>
      </c>
      <c r="AB387" t="s">
        <v>359</v>
      </c>
      <c r="AC387" t="s">
        <v>98</v>
      </c>
      <c r="AD387" t="s">
        <v>98</v>
      </c>
      <c r="AE387">
        <v>1</v>
      </c>
      <c r="AF387">
        <v>1</v>
      </c>
    </row>
    <row r="388" spans="1:32" x14ac:dyDescent="0.2">
      <c r="A388" t="s">
        <v>92</v>
      </c>
      <c r="B388" t="s">
        <v>442</v>
      </c>
      <c r="C388" t="s">
        <v>443</v>
      </c>
      <c r="D388" t="s">
        <v>371</v>
      </c>
      <c r="E388" t="s">
        <v>372</v>
      </c>
      <c r="F388" t="s">
        <v>445</v>
      </c>
      <c r="G388">
        <v>41</v>
      </c>
      <c r="H388" t="s">
        <v>56</v>
      </c>
      <c r="I388" t="s">
        <v>64</v>
      </c>
      <c r="J388" t="s">
        <v>50</v>
      </c>
      <c r="K388">
        <v>0</v>
      </c>
      <c r="L388">
        <v>0</v>
      </c>
      <c r="M388">
        <v>1</v>
      </c>
      <c r="O388">
        <v>0</v>
      </c>
      <c r="P388">
        <v>0</v>
      </c>
      <c r="Q388">
        <v>0</v>
      </c>
      <c r="R388" t="s">
        <v>62</v>
      </c>
      <c r="S388">
        <v>1</v>
      </c>
      <c r="T388">
        <v>0</v>
      </c>
      <c r="U388">
        <v>1</v>
      </c>
      <c r="V388" t="s">
        <v>53</v>
      </c>
      <c r="W388">
        <v>0</v>
      </c>
      <c r="X388">
        <v>1</v>
      </c>
      <c r="Y388" t="s">
        <v>52</v>
      </c>
      <c r="Z388">
        <v>1</v>
      </c>
      <c r="AA388">
        <v>1</v>
      </c>
      <c r="AB388" t="s">
        <v>359</v>
      </c>
      <c r="AC388" t="s">
        <v>98</v>
      </c>
      <c r="AD388" t="s">
        <v>98</v>
      </c>
      <c r="AE388">
        <v>1</v>
      </c>
      <c r="AF388">
        <v>1</v>
      </c>
    </row>
    <row r="389" spans="1:32" x14ac:dyDescent="0.2">
      <c r="A389" t="s">
        <v>92</v>
      </c>
      <c r="B389" t="s">
        <v>442</v>
      </c>
      <c r="C389" t="s">
        <v>443</v>
      </c>
      <c r="D389" t="s">
        <v>371</v>
      </c>
      <c r="E389" t="s">
        <v>372</v>
      </c>
      <c r="F389" t="s">
        <v>446</v>
      </c>
      <c r="G389">
        <v>37</v>
      </c>
      <c r="H389" t="s">
        <v>48</v>
      </c>
      <c r="I389" t="s">
        <v>64</v>
      </c>
      <c r="J389" t="s">
        <v>50</v>
      </c>
      <c r="K389">
        <v>0</v>
      </c>
      <c r="L389">
        <v>0</v>
      </c>
      <c r="M389">
        <v>1</v>
      </c>
      <c r="O389">
        <v>0</v>
      </c>
      <c r="P389">
        <v>0</v>
      </c>
      <c r="Q389">
        <v>0</v>
      </c>
      <c r="R389" t="s">
        <v>62</v>
      </c>
      <c r="S389">
        <v>1</v>
      </c>
      <c r="T389">
        <v>0</v>
      </c>
      <c r="U389">
        <v>1</v>
      </c>
      <c r="V389" t="s">
        <v>52</v>
      </c>
      <c r="W389">
        <v>1</v>
      </c>
      <c r="X389">
        <v>1</v>
      </c>
      <c r="Y389" t="s">
        <v>52</v>
      </c>
      <c r="Z389">
        <v>1</v>
      </c>
      <c r="AA389">
        <v>1</v>
      </c>
      <c r="AB389" t="s">
        <v>359</v>
      </c>
      <c r="AC389" t="s">
        <v>98</v>
      </c>
      <c r="AD389" t="s">
        <v>98</v>
      </c>
      <c r="AE389">
        <v>1</v>
      </c>
      <c r="AF389">
        <v>1</v>
      </c>
    </row>
    <row r="390" spans="1:32" x14ac:dyDescent="0.2">
      <c r="A390" t="s">
        <v>92</v>
      </c>
      <c r="B390" t="s">
        <v>442</v>
      </c>
      <c r="C390" t="s">
        <v>443</v>
      </c>
      <c r="D390" t="s">
        <v>371</v>
      </c>
      <c r="E390" t="s">
        <v>372</v>
      </c>
      <c r="F390" t="s">
        <v>447</v>
      </c>
      <c r="G390">
        <v>41</v>
      </c>
      <c r="H390" t="s">
        <v>48</v>
      </c>
      <c r="I390" t="s">
        <v>64</v>
      </c>
      <c r="J390" t="s">
        <v>50</v>
      </c>
      <c r="K390">
        <v>0</v>
      </c>
      <c r="L390">
        <v>0</v>
      </c>
      <c r="M390">
        <v>1</v>
      </c>
      <c r="O390">
        <v>0</v>
      </c>
      <c r="P390">
        <v>0</v>
      </c>
      <c r="Q390">
        <v>0</v>
      </c>
      <c r="R390" t="s">
        <v>62</v>
      </c>
      <c r="S390">
        <v>1</v>
      </c>
      <c r="T390">
        <v>0</v>
      </c>
      <c r="U390">
        <v>1</v>
      </c>
      <c r="V390" t="s">
        <v>53</v>
      </c>
      <c r="W390">
        <v>0</v>
      </c>
      <c r="X390">
        <v>1</v>
      </c>
      <c r="Y390" t="s">
        <v>53</v>
      </c>
      <c r="Z390">
        <v>0</v>
      </c>
      <c r="AA390">
        <v>1</v>
      </c>
      <c r="AB390" t="s">
        <v>359</v>
      </c>
      <c r="AC390" t="s">
        <v>98</v>
      </c>
      <c r="AD390" t="s">
        <v>98</v>
      </c>
      <c r="AE390">
        <v>1</v>
      </c>
      <c r="AF390">
        <v>1</v>
      </c>
    </row>
    <row r="391" spans="1:32" x14ac:dyDescent="0.2">
      <c r="A391" t="s">
        <v>92</v>
      </c>
      <c r="B391" t="s">
        <v>442</v>
      </c>
      <c r="C391" t="s">
        <v>443</v>
      </c>
      <c r="D391" t="s">
        <v>371</v>
      </c>
      <c r="E391" t="s">
        <v>372</v>
      </c>
      <c r="F391" t="s">
        <v>448</v>
      </c>
      <c r="G391">
        <v>31</v>
      </c>
      <c r="H391" t="s">
        <v>48</v>
      </c>
      <c r="I391" t="s">
        <v>49</v>
      </c>
      <c r="J391" t="s">
        <v>50</v>
      </c>
      <c r="K391">
        <v>0</v>
      </c>
      <c r="L391">
        <v>0</v>
      </c>
      <c r="M391">
        <v>1</v>
      </c>
      <c r="O391">
        <v>0</v>
      </c>
      <c r="P391">
        <v>0</v>
      </c>
      <c r="Q391">
        <v>0</v>
      </c>
      <c r="R391" t="s">
        <v>51</v>
      </c>
      <c r="S391">
        <v>0</v>
      </c>
      <c r="T391">
        <v>0</v>
      </c>
      <c r="U391">
        <v>1</v>
      </c>
      <c r="V391" t="s">
        <v>52</v>
      </c>
      <c r="W391">
        <v>1</v>
      </c>
      <c r="X391">
        <v>1</v>
      </c>
      <c r="Y391" t="s">
        <v>53</v>
      </c>
      <c r="Z391">
        <v>0</v>
      </c>
      <c r="AA391">
        <v>1</v>
      </c>
      <c r="AB391" t="s">
        <v>359</v>
      </c>
      <c r="AC391" t="s">
        <v>98</v>
      </c>
      <c r="AD391" t="s">
        <v>98</v>
      </c>
      <c r="AE391">
        <v>1</v>
      </c>
      <c r="AF391">
        <v>1</v>
      </c>
    </row>
    <row r="392" spans="1:32" x14ac:dyDescent="0.2">
      <c r="A392" t="s">
        <v>92</v>
      </c>
      <c r="B392" t="s">
        <v>442</v>
      </c>
      <c r="C392" t="s">
        <v>443</v>
      </c>
      <c r="D392" t="s">
        <v>371</v>
      </c>
      <c r="E392" t="s">
        <v>372</v>
      </c>
      <c r="F392" t="s">
        <v>449</v>
      </c>
      <c r="G392">
        <v>36</v>
      </c>
      <c r="H392" t="s">
        <v>48</v>
      </c>
      <c r="I392" t="s">
        <v>64</v>
      </c>
      <c r="J392" t="s">
        <v>144</v>
      </c>
      <c r="K392">
        <v>0</v>
      </c>
      <c r="L392">
        <v>1</v>
      </c>
      <c r="M392">
        <v>1</v>
      </c>
      <c r="O392">
        <v>0</v>
      </c>
      <c r="P392">
        <v>0</v>
      </c>
      <c r="Q392">
        <v>0</v>
      </c>
      <c r="R392" t="s">
        <v>60</v>
      </c>
      <c r="S392">
        <v>0</v>
      </c>
      <c r="T392">
        <v>1</v>
      </c>
      <c r="U392">
        <v>1</v>
      </c>
      <c r="V392" t="s">
        <v>53</v>
      </c>
      <c r="W392">
        <v>0</v>
      </c>
      <c r="X392">
        <v>1</v>
      </c>
      <c r="Y392" t="s">
        <v>53</v>
      </c>
      <c r="Z392">
        <v>0</v>
      </c>
      <c r="AA392">
        <v>1</v>
      </c>
      <c r="AB392" t="s">
        <v>359</v>
      </c>
      <c r="AC392" t="s">
        <v>98</v>
      </c>
      <c r="AD392" t="s">
        <v>98</v>
      </c>
      <c r="AE392">
        <v>1</v>
      </c>
      <c r="AF392">
        <v>1</v>
      </c>
    </row>
    <row r="393" spans="1:32" x14ac:dyDescent="0.2">
      <c r="A393" t="s">
        <v>92</v>
      </c>
      <c r="B393" t="s">
        <v>442</v>
      </c>
      <c r="C393" t="s">
        <v>443</v>
      </c>
      <c r="D393" t="s">
        <v>371</v>
      </c>
      <c r="E393" t="s">
        <v>372</v>
      </c>
      <c r="F393" t="s">
        <v>450</v>
      </c>
      <c r="G393">
        <v>52</v>
      </c>
      <c r="H393" t="s">
        <v>56</v>
      </c>
      <c r="I393" t="s">
        <v>70</v>
      </c>
      <c r="J393" t="s">
        <v>144</v>
      </c>
      <c r="K393">
        <v>0</v>
      </c>
      <c r="L393">
        <v>1</v>
      </c>
      <c r="M393">
        <v>1</v>
      </c>
      <c r="O393">
        <v>0</v>
      </c>
      <c r="P393">
        <v>0</v>
      </c>
      <c r="Q393">
        <v>0</v>
      </c>
      <c r="R393" t="s">
        <v>62</v>
      </c>
      <c r="S393">
        <v>1</v>
      </c>
      <c r="T393">
        <v>0</v>
      </c>
      <c r="U393">
        <v>1</v>
      </c>
      <c r="V393" t="s">
        <v>53</v>
      </c>
      <c r="W393">
        <v>0</v>
      </c>
      <c r="X393">
        <v>1</v>
      </c>
      <c r="Y393" t="s">
        <v>52</v>
      </c>
      <c r="Z393">
        <v>1</v>
      </c>
      <c r="AA393">
        <v>1</v>
      </c>
      <c r="AB393" t="s">
        <v>359</v>
      </c>
      <c r="AC393" t="s">
        <v>98</v>
      </c>
      <c r="AD393" t="s">
        <v>98</v>
      </c>
      <c r="AE393">
        <v>1</v>
      </c>
      <c r="AF393">
        <v>1</v>
      </c>
    </row>
    <row r="394" spans="1:32" x14ac:dyDescent="0.2">
      <c r="A394" t="s">
        <v>92</v>
      </c>
      <c r="B394" t="s">
        <v>442</v>
      </c>
      <c r="C394" t="s">
        <v>443</v>
      </c>
      <c r="D394" t="s">
        <v>371</v>
      </c>
      <c r="E394" t="s">
        <v>372</v>
      </c>
      <c r="F394" t="s">
        <v>451</v>
      </c>
      <c r="G394">
        <v>32</v>
      </c>
      <c r="H394" t="s">
        <v>56</v>
      </c>
      <c r="I394" t="s">
        <v>49</v>
      </c>
      <c r="J394" t="s">
        <v>50</v>
      </c>
      <c r="K394">
        <v>0</v>
      </c>
      <c r="L394">
        <v>0</v>
      </c>
      <c r="M394">
        <v>1</v>
      </c>
      <c r="O394">
        <v>0</v>
      </c>
      <c r="P394">
        <v>0</v>
      </c>
      <c r="Q394">
        <v>0</v>
      </c>
      <c r="R394" t="s">
        <v>51</v>
      </c>
      <c r="S394">
        <v>0</v>
      </c>
      <c r="T394">
        <v>0</v>
      </c>
      <c r="U394">
        <v>1</v>
      </c>
      <c r="V394" t="s">
        <v>53</v>
      </c>
      <c r="W394">
        <v>0</v>
      </c>
      <c r="X394">
        <v>1</v>
      </c>
      <c r="Y394" t="s">
        <v>53</v>
      </c>
      <c r="Z394">
        <v>0</v>
      </c>
      <c r="AA394">
        <v>1</v>
      </c>
      <c r="AB394" t="s">
        <v>359</v>
      </c>
      <c r="AC394" t="s">
        <v>98</v>
      </c>
      <c r="AD394" t="s">
        <v>98</v>
      </c>
      <c r="AE394">
        <v>1</v>
      </c>
      <c r="AF394">
        <v>1</v>
      </c>
    </row>
    <row r="395" spans="1:32" x14ac:dyDescent="0.2">
      <c r="A395" t="s">
        <v>92</v>
      </c>
      <c r="B395" t="s">
        <v>442</v>
      </c>
      <c r="C395" t="s">
        <v>443</v>
      </c>
      <c r="D395" t="s">
        <v>371</v>
      </c>
      <c r="E395" t="s">
        <v>372</v>
      </c>
      <c r="F395" t="s">
        <v>452</v>
      </c>
      <c r="G395">
        <v>48</v>
      </c>
      <c r="H395" t="s">
        <v>48</v>
      </c>
      <c r="I395" t="s">
        <v>70</v>
      </c>
      <c r="J395" t="s">
        <v>50</v>
      </c>
      <c r="K395">
        <v>0</v>
      </c>
      <c r="L395">
        <v>0</v>
      </c>
      <c r="M395">
        <v>1</v>
      </c>
      <c r="O395">
        <v>0</v>
      </c>
      <c r="P395">
        <v>0</v>
      </c>
      <c r="Q395">
        <v>0</v>
      </c>
      <c r="R395" t="s">
        <v>62</v>
      </c>
      <c r="S395">
        <v>1</v>
      </c>
      <c r="T395">
        <v>0</v>
      </c>
      <c r="U395">
        <v>1</v>
      </c>
      <c r="V395" t="s">
        <v>53</v>
      </c>
      <c r="W395">
        <v>0</v>
      </c>
      <c r="X395">
        <v>1</v>
      </c>
      <c r="Y395" t="s">
        <v>52</v>
      </c>
      <c r="Z395">
        <v>1</v>
      </c>
      <c r="AA395">
        <v>1</v>
      </c>
      <c r="AB395" t="s">
        <v>359</v>
      </c>
      <c r="AC395" t="s">
        <v>98</v>
      </c>
      <c r="AD395" t="s">
        <v>98</v>
      </c>
      <c r="AE395">
        <v>1</v>
      </c>
      <c r="AF395">
        <v>1</v>
      </c>
    </row>
    <row r="396" spans="1:32" x14ac:dyDescent="0.2">
      <c r="A396" t="s">
        <v>92</v>
      </c>
      <c r="B396" t="s">
        <v>442</v>
      </c>
      <c r="C396" t="s">
        <v>443</v>
      </c>
      <c r="D396" t="s">
        <v>371</v>
      </c>
      <c r="E396" t="s">
        <v>372</v>
      </c>
      <c r="F396" t="s">
        <v>453</v>
      </c>
      <c r="G396">
        <v>48</v>
      </c>
      <c r="H396" t="s">
        <v>48</v>
      </c>
      <c r="I396" t="s">
        <v>70</v>
      </c>
      <c r="J396" t="s">
        <v>144</v>
      </c>
      <c r="K396">
        <v>0</v>
      </c>
      <c r="L396">
        <v>1</v>
      </c>
      <c r="M396">
        <v>1</v>
      </c>
      <c r="O396">
        <v>0</v>
      </c>
      <c r="P396">
        <v>0</v>
      </c>
      <c r="Q396">
        <v>0</v>
      </c>
      <c r="R396" t="s">
        <v>60</v>
      </c>
      <c r="S396">
        <v>0</v>
      </c>
      <c r="T396">
        <v>1</v>
      </c>
      <c r="U396">
        <v>1</v>
      </c>
      <c r="V396" t="s">
        <v>53</v>
      </c>
      <c r="W396">
        <v>0</v>
      </c>
      <c r="X396">
        <v>1</v>
      </c>
      <c r="Y396" t="s">
        <v>53</v>
      </c>
      <c r="Z396">
        <v>0</v>
      </c>
      <c r="AA396">
        <v>1</v>
      </c>
      <c r="AB396" t="s">
        <v>359</v>
      </c>
      <c r="AC396" t="s">
        <v>98</v>
      </c>
      <c r="AD396" t="s">
        <v>98</v>
      </c>
      <c r="AE396">
        <v>1</v>
      </c>
      <c r="AF396">
        <v>1</v>
      </c>
    </row>
    <row r="397" spans="1:32" x14ac:dyDescent="0.2">
      <c r="A397" t="s">
        <v>92</v>
      </c>
      <c r="B397" t="s">
        <v>442</v>
      </c>
      <c r="C397" t="s">
        <v>443</v>
      </c>
      <c r="D397" t="s">
        <v>371</v>
      </c>
      <c r="E397" t="s">
        <v>372</v>
      </c>
      <c r="F397" t="s">
        <v>454</v>
      </c>
      <c r="G397">
        <v>27</v>
      </c>
      <c r="H397" t="s">
        <v>56</v>
      </c>
      <c r="I397" t="s">
        <v>49</v>
      </c>
      <c r="J397" t="s">
        <v>50</v>
      </c>
      <c r="K397">
        <v>0</v>
      </c>
      <c r="L397">
        <v>0</v>
      </c>
      <c r="M397">
        <v>1</v>
      </c>
      <c r="O397">
        <v>0</v>
      </c>
      <c r="P397">
        <v>0</v>
      </c>
      <c r="Q397">
        <v>0</v>
      </c>
      <c r="R397" t="s">
        <v>62</v>
      </c>
      <c r="S397">
        <v>1</v>
      </c>
      <c r="T397">
        <v>0</v>
      </c>
      <c r="U397">
        <v>1</v>
      </c>
      <c r="V397" t="s">
        <v>52</v>
      </c>
      <c r="W397">
        <v>1</v>
      </c>
      <c r="X397">
        <v>1</v>
      </c>
      <c r="Y397" t="s">
        <v>53</v>
      </c>
      <c r="Z397">
        <v>0</v>
      </c>
      <c r="AA397">
        <v>1</v>
      </c>
      <c r="AB397" t="s">
        <v>359</v>
      </c>
      <c r="AC397" t="s">
        <v>98</v>
      </c>
      <c r="AD397" t="s">
        <v>98</v>
      </c>
      <c r="AE397">
        <v>1</v>
      </c>
      <c r="AF397">
        <v>1</v>
      </c>
    </row>
    <row r="398" spans="1:32" x14ac:dyDescent="0.2">
      <c r="A398" t="s">
        <v>92</v>
      </c>
      <c r="B398" t="s">
        <v>442</v>
      </c>
      <c r="C398" t="s">
        <v>443</v>
      </c>
      <c r="D398" t="s">
        <v>371</v>
      </c>
      <c r="E398" t="s">
        <v>372</v>
      </c>
      <c r="F398" t="s">
        <v>455</v>
      </c>
      <c r="G398">
        <v>41</v>
      </c>
      <c r="H398" t="s">
        <v>48</v>
      </c>
      <c r="I398" t="s">
        <v>64</v>
      </c>
      <c r="J398" t="s">
        <v>50</v>
      </c>
      <c r="K398">
        <v>0</v>
      </c>
      <c r="L398">
        <v>0</v>
      </c>
      <c r="M398">
        <v>1</v>
      </c>
      <c r="O398">
        <v>0</v>
      </c>
      <c r="P398">
        <v>0</v>
      </c>
      <c r="Q398">
        <v>0</v>
      </c>
      <c r="R398" t="s">
        <v>62</v>
      </c>
      <c r="S398">
        <v>1</v>
      </c>
      <c r="T398">
        <v>0</v>
      </c>
      <c r="U398">
        <v>1</v>
      </c>
      <c r="V398" t="s">
        <v>53</v>
      </c>
      <c r="W398">
        <v>0</v>
      </c>
      <c r="X398">
        <v>1</v>
      </c>
      <c r="Y398" t="s">
        <v>53</v>
      </c>
      <c r="Z398">
        <v>0</v>
      </c>
      <c r="AA398">
        <v>1</v>
      </c>
      <c r="AB398" t="s">
        <v>359</v>
      </c>
      <c r="AC398" t="s">
        <v>98</v>
      </c>
      <c r="AD398" t="s">
        <v>98</v>
      </c>
      <c r="AE398">
        <v>1</v>
      </c>
      <c r="AF398">
        <v>1</v>
      </c>
    </row>
    <row r="399" spans="1:32" x14ac:dyDescent="0.2">
      <c r="A399" t="s">
        <v>92</v>
      </c>
      <c r="B399" t="s">
        <v>442</v>
      </c>
      <c r="C399" t="s">
        <v>443</v>
      </c>
      <c r="D399" t="s">
        <v>371</v>
      </c>
      <c r="E399" t="s">
        <v>372</v>
      </c>
      <c r="F399" t="s">
        <v>456</v>
      </c>
      <c r="G399">
        <v>43</v>
      </c>
      <c r="H399" t="s">
        <v>56</v>
      </c>
      <c r="I399" t="s">
        <v>64</v>
      </c>
      <c r="J399" t="s">
        <v>50</v>
      </c>
      <c r="K399">
        <v>0</v>
      </c>
      <c r="L399">
        <v>0</v>
      </c>
      <c r="M399">
        <v>1</v>
      </c>
      <c r="O399">
        <v>0</v>
      </c>
      <c r="P399">
        <v>0</v>
      </c>
      <c r="Q399">
        <v>0</v>
      </c>
      <c r="R399" t="s">
        <v>51</v>
      </c>
      <c r="S399">
        <v>0</v>
      </c>
      <c r="T399">
        <v>0</v>
      </c>
      <c r="U399">
        <v>1</v>
      </c>
      <c r="V399" t="s">
        <v>53</v>
      </c>
      <c r="W399">
        <v>0</v>
      </c>
      <c r="X399">
        <v>1</v>
      </c>
      <c r="Y399" t="s">
        <v>52</v>
      </c>
      <c r="Z399">
        <v>1</v>
      </c>
      <c r="AA399">
        <v>1</v>
      </c>
      <c r="AB399" t="s">
        <v>359</v>
      </c>
      <c r="AC399" t="s">
        <v>98</v>
      </c>
      <c r="AD399" t="s">
        <v>98</v>
      </c>
      <c r="AE399">
        <v>1</v>
      </c>
      <c r="AF399">
        <v>1</v>
      </c>
    </row>
    <row r="400" spans="1:32" x14ac:dyDescent="0.2">
      <c r="A400" t="s">
        <v>92</v>
      </c>
      <c r="B400" t="s">
        <v>442</v>
      </c>
      <c r="C400" t="s">
        <v>443</v>
      </c>
      <c r="D400" t="s">
        <v>112</v>
      </c>
      <c r="E400" t="s">
        <v>457</v>
      </c>
      <c r="F400" t="s">
        <v>458</v>
      </c>
      <c r="G400">
        <v>47</v>
      </c>
      <c r="H400" t="s">
        <v>48</v>
      </c>
      <c r="I400" t="s">
        <v>70</v>
      </c>
      <c r="J400" t="s">
        <v>144</v>
      </c>
      <c r="K400">
        <v>0</v>
      </c>
      <c r="L400">
        <v>1</v>
      </c>
      <c r="M400">
        <v>1</v>
      </c>
      <c r="O400">
        <v>0</v>
      </c>
      <c r="P400">
        <v>0</v>
      </c>
      <c r="Q400">
        <v>0</v>
      </c>
      <c r="R400" t="s">
        <v>62</v>
      </c>
      <c r="S400">
        <v>1</v>
      </c>
      <c r="T400">
        <v>0</v>
      </c>
      <c r="U400">
        <v>1</v>
      </c>
      <c r="V400" t="s">
        <v>53</v>
      </c>
      <c r="W400">
        <v>0</v>
      </c>
      <c r="X400">
        <v>1</v>
      </c>
      <c r="Y400" t="s">
        <v>53</v>
      </c>
      <c r="Z400">
        <v>0</v>
      </c>
      <c r="AA400">
        <v>1</v>
      </c>
      <c r="AB400" t="s">
        <v>359</v>
      </c>
      <c r="AC400" t="s">
        <v>98</v>
      </c>
      <c r="AD400" t="s">
        <v>98</v>
      </c>
      <c r="AE400">
        <v>1</v>
      </c>
      <c r="AF400">
        <v>1</v>
      </c>
    </row>
    <row r="401" spans="1:32" x14ac:dyDescent="0.2">
      <c r="A401" t="s">
        <v>92</v>
      </c>
      <c r="B401" t="s">
        <v>442</v>
      </c>
      <c r="C401" t="s">
        <v>443</v>
      </c>
      <c r="D401" t="s">
        <v>371</v>
      </c>
      <c r="E401" t="s">
        <v>372</v>
      </c>
      <c r="F401" t="s">
        <v>459</v>
      </c>
      <c r="G401">
        <v>41</v>
      </c>
      <c r="H401" t="s">
        <v>56</v>
      </c>
      <c r="I401" t="s">
        <v>64</v>
      </c>
      <c r="J401" t="s">
        <v>50</v>
      </c>
      <c r="K401">
        <v>0</v>
      </c>
      <c r="L401">
        <v>0</v>
      </c>
      <c r="M401">
        <v>1</v>
      </c>
      <c r="O401">
        <v>0</v>
      </c>
      <c r="P401">
        <v>0</v>
      </c>
      <c r="Q401">
        <v>0</v>
      </c>
      <c r="R401" t="s">
        <v>62</v>
      </c>
      <c r="S401">
        <v>1</v>
      </c>
      <c r="T401">
        <v>0</v>
      </c>
      <c r="U401">
        <v>1</v>
      </c>
      <c r="V401" t="s">
        <v>53</v>
      </c>
      <c r="W401">
        <v>0</v>
      </c>
      <c r="X401">
        <v>1</v>
      </c>
      <c r="Y401" t="s">
        <v>52</v>
      </c>
      <c r="Z401">
        <v>1</v>
      </c>
      <c r="AA401">
        <v>1</v>
      </c>
      <c r="AB401" t="s">
        <v>359</v>
      </c>
      <c r="AC401" t="s">
        <v>98</v>
      </c>
      <c r="AD401" t="s">
        <v>98</v>
      </c>
      <c r="AE401">
        <v>1</v>
      </c>
      <c r="AF401">
        <v>1</v>
      </c>
    </row>
    <row r="402" spans="1:32" x14ac:dyDescent="0.2">
      <c r="A402" t="s">
        <v>92</v>
      </c>
      <c r="B402" t="s">
        <v>442</v>
      </c>
      <c r="C402" t="s">
        <v>443</v>
      </c>
      <c r="D402" t="s">
        <v>371</v>
      </c>
      <c r="E402" t="s">
        <v>372</v>
      </c>
      <c r="F402" t="s">
        <v>460</v>
      </c>
      <c r="G402">
        <v>37</v>
      </c>
      <c r="H402" t="s">
        <v>56</v>
      </c>
      <c r="I402" t="s">
        <v>64</v>
      </c>
      <c r="J402" t="s">
        <v>50</v>
      </c>
      <c r="K402">
        <v>0</v>
      </c>
      <c r="L402">
        <v>0</v>
      </c>
      <c r="M402">
        <v>1</v>
      </c>
      <c r="O402">
        <v>0</v>
      </c>
      <c r="P402">
        <v>0</v>
      </c>
      <c r="Q402">
        <v>0</v>
      </c>
      <c r="R402" t="s">
        <v>62</v>
      </c>
      <c r="S402">
        <v>1</v>
      </c>
      <c r="T402">
        <v>0</v>
      </c>
      <c r="U402">
        <v>1</v>
      </c>
      <c r="V402" t="s">
        <v>53</v>
      </c>
      <c r="W402">
        <v>0</v>
      </c>
      <c r="X402">
        <v>1</v>
      </c>
      <c r="Y402" t="s">
        <v>52</v>
      </c>
      <c r="Z402">
        <v>1</v>
      </c>
      <c r="AA402">
        <v>1</v>
      </c>
      <c r="AB402" t="s">
        <v>359</v>
      </c>
      <c r="AC402" t="s">
        <v>98</v>
      </c>
      <c r="AD402" t="s">
        <v>98</v>
      </c>
      <c r="AE402">
        <v>1</v>
      </c>
      <c r="AF402">
        <v>1</v>
      </c>
    </row>
    <row r="403" spans="1:32" x14ac:dyDescent="0.2">
      <c r="A403" t="s">
        <v>92</v>
      </c>
      <c r="B403" t="s">
        <v>442</v>
      </c>
      <c r="C403" t="s">
        <v>443</v>
      </c>
      <c r="D403" t="s">
        <v>371</v>
      </c>
      <c r="E403" t="s">
        <v>372</v>
      </c>
      <c r="F403" t="s">
        <v>461</v>
      </c>
      <c r="G403">
        <v>37</v>
      </c>
      <c r="H403" t="s">
        <v>56</v>
      </c>
      <c r="I403" t="s">
        <v>64</v>
      </c>
      <c r="J403" t="s">
        <v>50</v>
      </c>
      <c r="K403">
        <v>0</v>
      </c>
      <c r="L403">
        <v>0</v>
      </c>
      <c r="M403">
        <v>1</v>
      </c>
      <c r="O403">
        <v>0</v>
      </c>
      <c r="P403">
        <v>0</v>
      </c>
      <c r="Q403">
        <v>0</v>
      </c>
      <c r="R403" t="s">
        <v>62</v>
      </c>
      <c r="S403">
        <v>1</v>
      </c>
      <c r="T403">
        <v>0</v>
      </c>
      <c r="U403">
        <v>1</v>
      </c>
      <c r="V403" t="s">
        <v>53</v>
      </c>
      <c r="W403">
        <v>0</v>
      </c>
      <c r="X403">
        <v>1</v>
      </c>
      <c r="Y403" t="s">
        <v>53</v>
      </c>
      <c r="Z403">
        <v>0</v>
      </c>
      <c r="AA403">
        <v>1</v>
      </c>
      <c r="AB403" t="s">
        <v>359</v>
      </c>
      <c r="AC403" t="s">
        <v>98</v>
      </c>
      <c r="AD403" t="s">
        <v>98</v>
      </c>
      <c r="AE403">
        <v>1</v>
      </c>
      <c r="AF403">
        <v>1</v>
      </c>
    </row>
    <row r="404" spans="1:32" x14ac:dyDescent="0.2">
      <c r="A404" t="s">
        <v>92</v>
      </c>
      <c r="B404" t="s">
        <v>442</v>
      </c>
      <c r="C404" t="s">
        <v>443</v>
      </c>
      <c r="D404" t="s">
        <v>371</v>
      </c>
      <c r="E404" t="s">
        <v>372</v>
      </c>
      <c r="F404" t="s">
        <v>462</v>
      </c>
      <c r="G404">
        <v>38</v>
      </c>
      <c r="H404" t="s">
        <v>56</v>
      </c>
      <c r="I404" t="s">
        <v>64</v>
      </c>
      <c r="J404" t="s">
        <v>50</v>
      </c>
      <c r="K404">
        <v>0</v>
      </c>
      <c r="L404">
        <v>0</v>
      </c>
      <c r="M404">
        <v>1</v>
      </c>
      <c r="O404">
        <v>0</v>
      </c>
      <c r="P404">
        <v>0</v>
      </c>
      <c r="Q404">
        <v>0</v>
      </c>
      <c r="R404" t="s">
        <v>51</v>
      </c>
      <c r="S404">
        <v>0</v>
      </c>
      <c r="T404">
        <v>0</v>
      </c>
      <c r="U404">
        <v>1</v>
      </c>
      <c r="V404" t="s">
        <v>53</v>
      </c>
      <c r="W404">
        <v>0</v>
      </c>
      <c r="X404">
        <v>1</v>
      </c>
      <c r="Y404" t="s">
        <v>53</v>
      </c>
      <c r="Z404">
        <v>0</v>
      </c>
      <c r="AA404">
        <v>1</v>
      </c>
      <c r="AB404" t="s">
        <v>359</v>
      </c>
      <c r="AC404" t="s">
        <v>98</v>
      </c>
      <c r="AD404" t="s">
        <v>98</v>
      </c>
      <c r="AE404">
        <v>1</v>
      </c>
      <c r="AF404">
        <v>1</v>
      </c>
    </row>
    <row r="405" spans="1:32" x14ac:dyDescent="0.2">
      <c r="A405" t="s">
        <v>92</v>
      </c>
      <c r="B405" t="s">
        <v>442</v>
      </c>
      <c r="C405" t="s">
        <v>443</v>
      </c>
      <c r="D405" t="s">
        <v>371</v>
      </c>
      <c r="E405" t="s">
        <v>372</v>
      </c>
      <c r="F405" t="s">
        <v>463</v>
      </c>
      <c r="G405">
        <v>49</v>
      </c>
      <c r="H405" t="s">
        <v>56</v>
      </c>
      <c r="I405" t="s">
        <v>70</v>
      </c>
      <c r="J405" t="s">
        <v>144</v>
      </c>
      <c r="K405">
        <v>0</v>
      </c>
      <c r="L405">
        <v>1</v>
      </c>
      <c r="M405">
        <v>1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0</v>
      </c>
      <c r="V405" t="s">
        <v>53</v>
      </c>
      <c r="W405">
        <v>0</v>
      </c>
      <c r="X405">
        <v>1</v>
      </c>
      <c r="Y405" t="s">
        <v>52</v>
      </c>
      <c r="Z405">
        <v>1</v>
      </c>
      <c r="AA405">
        <v>1</v>
      </c>
      <c r="AB405" t="s">
        <v>359</v>
      </c>
      <c r="AC405" t="s">
        <v>98</v>
      </c>
      <c r="AD405" t="s">
        <v>98</v>
      </c>
      <c r="AE405">
        <v>1</v>
      </c>
      <c r="AF405">
        <v>1</v>
      </c>
    </row>
    <row r="406" spans="1:32" x14ac:dyDescent="0.2">
      <c r="A406" t="s">
        <v>92</v>
      </c>
      <c r="B406" t="s">
        <v>442</v>
      </c>
      <c r="C406" t="s">
        <v>443</v>
      </c>
      <c r="D406" t="s">
        <v>371</v>
      </c>
      <c r="E406" t="s">
        <v>372</v>
      </c>
      <c r="F406" t="s">
        <v>464</v>
      </c>
      <c r="G406">
        <v>56</v>
      </c>
      <c r="H406" t="s">
        <v>56</v>
      </c>
      <c r="I406" t="s">
        <v>85</v>
      </c>
      <c r="J406" t="s">
        <v>50</v>
      </c>
      <c r="K406">
        <v>0</v>
      </c>
      <c r="L406">
        <v>0</v>
      </c>
      <c r="M406">
        <v>1</v>
      </c>
      <c r="O406">
        <v>0</v>
      </c>
      <c r="P406">
        <v>0</v>
      </c>
      <c r="Q406">
        <v>0</v>
      </c>
      <c r="R406" t="s">
        <v>60</v>
      </c>
      <c r="S406">
        <v>0</v>
      </c>
      <c r="T406">
        <v>1</v>
      </c>
      <c r="U406">
        <v>1</v>
      </c>
      <c r="V406" t="s">
        <v>52</v>
      </c>
      <c r="W406">
        <v>1</v>
      </c>
      <c r="X406">
        <v>1</v>
      </c>
      <c r="Y406" t="s">
        <v>52</v>
      </c>
      <c r="Z406">
        <v>1</v>
      </c>
      <c r="AA406">
        <v>1</v>
      </c>
      <c r="AB406" t="s">
        <v>359</v>
      </c>
      <c r="AC406" t="s">
        <v>98</v>
      </c>
      <c r="AD406" t="s">
        <v>98</v>
      </c>
      <c r="AE406">
        <v>1</v>
      </c>
      <c r="AF406">
        <v>1</v>
      </c>
    </row>
    <row r="407" spans="1:32" x14ac:dyDescent="0.2">
      <c r="A407" t="s">
        <v>92</v>
      </c>
      <c r="B407" t="s">
        <v>442</v>
      </c>
      <c r="C407" t="s">
        <v>443</v>
      </c>
      <c r="D407" t="s">
        <v>371</v>
      </c>
      <c r="E407" t="s">
        <v>372</v>
      </c>
      <c r="F407" t="s">
        <v>465</v>
      </c>
      <c r="G407">
        <v>42</v>
      </c>
      <c r="H407" t="s">
        <v>48</v>
      </c>
      <c r="I407" t="s">
        <v>64</v>
      </c>
      <c r="J407" t="s">
        <v>50</v>
      </c>
      <c r="K407">
        <v>0</v>
      </c>
      <c r="L407">
        <v>0</v>
      </c>
      <c r="M407">
        <v>1</v>
      </c>
      <c r="O407">
        <v>0</v>
      </c>
      <c r="P407">
        <v>0</v>
      </c>
      <c r="Q407">
        <v>0</v>
      </c>
      <c r="R407" t="s">
        <v>62</v>
      </c>
      <c r="S407">
        <v>1</v>
      </c>
      <c r="T407">
        <v>0</v>
      </c>
      <c r="U407">
        <v>1</v>
      </c>
      <c r="V407" t="s">
        <v>52</v>
      </c>
      <c r="W407">
        <v>1</v>
      </c>
      <c r="X407">
        <v>1</v>
      </c>
      <c r="Y407" t="s">
        <v>53</v>
      </c>
      <c r="Z407">
        <v>0</v>
      </c>
      <c r="AA407">
        <v>1</v>
      </c>
      <c r="AB407" t="s">
        <v>359</v>
      </c>
      <c r="AC407" t="s">
        <v>98</v>
      </c>
      <c r="AD407" t="s">
        <v>98</v>
      </c>
      <c r="AE407">
        <v>1</v>
      </c>
      <c r="AF407">
        <v>1</v>
      </c>
    </row>
    <row r="408" spans="1:32" x14ac:dyDescent="0.2">
      <c r="A408" t="s">
        <v>92</v>
      </c>
      <c r="B408" t="s">
        <v>442</v>
      </c>
      <c r="C408" t="s">
        <v>443</v>
      </c>
      <c r="D408" t="s">
        <v>371</v>
      </c>
      <c r="E408" t="s">
        <v>372</v>
      </c>
      <c r="F408" t="s">
        <v>466</v>
      </c>
      <c r="G408">
        <v>42</v>
      </c>
      <c r="H408" t="s">
        <v>48</v>
      </c>
      <c r="I408" t="s">
        <v>64</v>
      </c>
      <c r="J408" t="s">
        <v>50</v>
      </c>
      <c r="K408">
        <v>0</v>
      </c>
      <c r="L408">
        <v>0</v>
      </c>
      <c r="M408">
        <v>1</v>
      </c>
      <c r="O408">
        <v>0</v>
      </c>
      <c r="P408">
        <v>0</v>
      </c>
      <c r="Q408">
        <v>0</v>
      </c>
      <c r="R408" t="s">
        <v>51</v>
      </c>
      <c r="S408">
        <v>0</v>
      </c>
      <c r="T408">
        <v>0</v>
      </c>
      <c r="U408">
        <v>1</v>
      </c>
      <c r="V408" t="s">
        <v>53</v>
      </c>
      <c r="W408">
        <v>0</v>
      </c>
      <c r="X408">
        <v>1</v>
      </c>
      <c r="Y408" t="s">
        <v>52</v>
      </c>
      <c r="Z408">
        <v>1</v>
      </c>
      <c r="AA408">
        <v>1</v>
      </c>
      <c r="AB408" t="s">
        <v>359</v>
      </c>
      <c r="AC408" t="s">
        <v>98</v>
      </c>
      <c r="AD408" t="s">
        <v>98</v>
      </c>
      <c r="AE408">
        <v>1</v>
      </c>
      <c r="AF408">
        <v>1</v>
      </c>
    </row>
    <row r="409" spans="1:32" x14ac:dyDescent="0.2">
      <c r="A409" t="s">
        <v>92</v>
      </c>
      <c r="B409" t="s">
        <v>442</v>
      </c>
      <c r="C409" t="s">
        <v>443</v>
      </c>
      <c r="D409" t="s">
        <v>371</v>
      </c>
      <c r="E409" t="s">
        <v>372</v>
      </c>
      <c r="F409" t="s">
        <v>467</v>
      </c>
      <c r="G409">
        <v>24</v>
      </c>
      <c r="H409" t="s">
        <v>56</v>
      </c>
      <c r="I409" t="s">
        <v>67</v>
      </c>
      <c r="J409" t="s">
        <v>50</v>
      </c>
      <c r="K409">
        <v>0</v>
      </c>
      <c r="L409">
        <v>0</v>
      </c>
      <c r="M409">
        <v>1</v>
      </c>
      <c r="O409">
        <v>0</v>
      </c>
      <c r="P409">
        <v>0</v>
      </c>
      <c r="Q409">
        <v>0</v>
      </c>
      <c r="R409" t="s">
        <v>51</v>
      </c>
      <c r="S409">
        <v>0</v>
      </c>
      <c r="T409">
        <v>0</v>
      </c>
      <c r="U409">
        <v>1</v>
      </c>
      <c r="W409">
        <v>0</v>
      </c>
      <c r="X409">
        <v>0</v>
      </c>
      <c r="Y409" t="s">
        <v>52</v>
      </c>
      <c r="Z409">
        <v>1</v>
      </c>
      <c r="AA409">
        <v>1</v>
      </c>
      <c r="AB409" t="s">
        <v>359</v>
      </c>
      <c r="AC409" t="s">
        <v>98</v>
      </c>
      <c r="AD409" t="s">
        <v>131</v>
      </c>
      <c r="AE409">
        <v>1</v>
      </c>
      <c r="AF409">
        <v>1</v>
      </c>
    </row>
    <row r="410" spans="1:32" x14ac:dyDescent="0.2">
      <c r="A410" t="s">
        <v>92</v>
      </c>
      <c r="B410" t="s">
        <v>442</v>
      </c>
      <c r="C410" t="s">
        <v>443</v>
      </c>
      <c r="D410" t="s">
        <v>371</v>
      </c>
      <c r="E410" t="s">
        <v>372</v>
      </c>
      <c r="F410" t="s">
        <v>468</v>
      </c>
      <c r="G410">
        <v>46</v>
      </c>
      <c r="H410" t="s">
        <v>56</v>
      </c>
      <c r="I410" t="s">
        <v>70</v>
      </c>
      <c r="J410" t="s">
        <v>50</v>
      </c>
      <c r="K410">
        <v>0</v>
      </c>
      <c r="L410">
        <v>0</v>
      </c>
      <c r="M410">
        <v>1</v>
      </c>
      <c r="O410">
        <v>0</v>
      </c>
      <c r="P410">
        <v>0</v>
      </c>
      <c r="Q410">
        <v>0</v>
      </c>
      <c r="R410" t="s">
        <v>51</v>
      </c>
      <c r="S410">
        <v>0</v>
      </c>
      <c r="T410">
        <v>0</v>
      </c>
      <c r="U410">
        <v>1</v>
      </c>
      <c r="V410" t="s">
        <v>53</v>
      </c>
      <c r="W410">
        <v>0</v>
      </c>
      <c r="X410">
        <v>1</v>
      </c>
      <c r="Y410" t="s">
        <v>53</v>
      </c>
      <c r="Z410">
        <v>0</v>
      </c>
      <c r="AA410">
        <v>1</v>
      </c>
      <c r="AB410" t="s">
        <v>359</v>
      </c>
      <c r="AC410" t="s">
        <v>98</v>
      </c>
      <c r="AD410" t="s">
        <v>98</v>
      </c>
      <c r="AE410">
        <v>1</v>
      </c>
      <c r="AF410">
        <v>1</v>
      </c>
    </row>
    <row r="411" spans="1:32" x14ac:dyDescent="0.2">
      <c r="A411" t="s">
        <v>92</v>
      </c>
      <c r="B411" t="s">
        <v>442</v>
      </c>
      <c r="C411" t="s">
        <v>443</v>
      </c>
      <c r="D411" t="s">
        <v>371</v>
      </c>
      <c r="E411" t="s">
        <v>372</v>
      </c>
      <c r="F411" t="s">
        <v>469</v>
      </c>
      <c r="G411">
        <v>35</v>
      </c>
      <c r="H411" t="s">
        <v>56</v>
      </c>
      <c r="I411" t="s">
        <v>49</v>
      </c>
      <c r="J411" t="s">
        <v>144</v>
      </c>
      <c r="K411">
        <v>0</v>
      </c>
      <c r="L411">
        <v>1</v>
      </c>
      <c r="M411">
        <v>1</v>
      </c>
      <c r="O411">
        <v>0</v>
      </c>
      <c r="P411">
        <v>0</v>
      </c>
      <c r="Q411">
        <v>0</v>
      </c>
      <c r="R411" t="s">
        <v>62</v>
      </c>
      <c r="S411">
        <v>1</v>
      </c>
      <c r="T411">
        <v>0</v>
      </c>
      <c r="U411">
        <v>1</v>
      </c>
      <c r="V411" t="s">
        <v>53</v>
      </c>
      <c r="W411">
        <v>0</v>
      </c>
      <c r="X411">
        <v>1</v>
      </c>
      <c r="Y411" t="s">
        <v>53</v>
      </c>
      <c r="Z411">
        <v>0</v>
      </c>
      <c r="AA411">
        <v>1</v>
      </c>
      <c r="AB411" t="s">
        <v>359</v>
      </c>
      <c r="AC411" t="s">
        <v>98</v>
      </c>
      <c r="AD411" t="s">
        <v>98</v>
      </c>
      <c r="AE411">
        <v>1</v>
      </c>
      <c r="AF411">
        <v>1</v>
      </c>
    </row>
    <row r="412" spans="1:32" x14ac:dyDescent="0.2">
      <c r="A412" t="s">
        <v>92</v>
      </c>
      <c r="B412" t="s">
        <v>442</v>
      </c>
      <c r="C412" t="s">
        <v>443</v>
      </c>
      <c r="D412" t="s">
        <v>371</v>
      </c>
      <c r="E412" t="s">
        <v>372</v>
      </c>
      <c r="F412" t="s">
        <v>470</v>
      </c>
      <c r="G412">
        <v>37</v>
      </c>
      <c r="H412" t="s">
        <v>56</v>
      </c>
      <c r="I412" t="s">
        <v>64</v>
      </c>
      <c r="J412" t="s">
        <v>50</v>
      </c>
      <c r="K412">
        <v>0</v>
      </c>
      <c r="L412">
        <v>0</v>
      </c>
      <c r="M412">
        <v>1</v>
      </c>
      <c r="O412">
        <v>0</v>
      </c>
      <c r="P412">
        <v>0</v>
      </c>
      <c r="Q412">
        <v>0</v>
      </c>
      <c r="R412" t="s">
        <v>62</v>
      </c>
      <c r="S412">
        <v>1</v>
      </c>
      <c r="T412">
        <v>0</v>
      </c>
      <c r="U412">
        <v>1</v>
      </c>
      <c r="V412" t="s">
        <v>53</v>
      </c>
      <c r="W412">
        <v>0</v>
      </c>
      <c r="X412">
        <v>1</v>
      </c>
      <c r="Y412" t="s">
        <v>52</v>
      </c>
      <c r="Z412">
        <v>1</v>
      </c>
      <c r="AA412">
        <v>1</v>
      </c>
      <c r="AB412" t="s">
        <v>359</v>
      </c>
      <c r="AC412" t="s">
        <v>98</v>
      </c>
      <c r="AD412" t="s">
        <v>98</v>
      </c>
      <c r="AE412">
        <v>1</v>
      </c>
      <c r="AF412">
        <v>1</v>
      </c>
    </row>
    <row r="413" spans="1:32" x14ac:dyDescent="0.2">
      <c r="A413" t="s">
        <v>92</v>
      </c>
      <c r="B413" t="s">
        <v>442</v>
      </c>
      <c r="C413" t="s">
        <v>443</v>
      </c>
      <c r="D413" t="s">
        <v>371</v>
      </c>
      <c r="E413" t="s">
        <v>372</v>
      </c>
      <c r="F413" t="s">
        <v>471</v>
      </c>
      <c r="G413">
        <v>34</v>
      </c>
      <c r="H413" t="s">
        <v>56</v>
      </c>
      <c r="I413" t="s">
        <v>49</v>
      </c>
      <c r="J413" t="s">
        <v>50</v>
      </c>
      <c r="K413">
        <v>0</v>
      </c>
      <c r="L413">
        <v>0</v>
      </c>
      <c r="M413">
        <v>1</v>
      </c>
      <c r="O413">
        <v>0</v>
      </c>
      <c r="P413">
        <v>0</v>
      </c>
      <c r="Q413">
        <v>0</v>
      </c>
      <c r="R413" t="s">
        <v>51</v>
      </c>
      <c r="S413">
        <v>0</v>
      </c>
      <c r="T413">
        <v>0</v>
      </c>
      <c r="U413">
        <v>1</v>
      </c>
      <c r="V413" t="s">
        <v>53</v>
      </c>
      <c r="W413">
        <v>0</v>
      </c>
      <c r="X413">
        <v>1</v>
      </c>
      <c r="Y413" t="s">
        <v>52</v>
      </c>
      <c r="Z413">
        <v>1</v>
      </c>
      <c r="AA413">
        <v>1</v>
      </c>
      <c r="AB413" t="s">
        <v>359</v>
      </c>
      <c r="AC413" t="s">
        <v>98</v>
      </c>
      <c r="AD413" t="s">
        <v>98</v>
      </c>
      <c r="AE413">
        <v>1</v>
      </c>
      <c r="AF413">
        <v>1</v>
      </c>
    </row>
    <row r="414" spans="1:32" x14ac:dyDescent="0.2">
      <c r="A414" t="s">
        <v>92</v>
      </c>
      <c r="B414" t="s">
        <v>442</v>
      </c>
      <c r="C414" t="s">
        <v>443</v>
      </c>
      <c r="D414" t="s">
        <v>371</v>
      </c>
      <c r="E414" t="s">
        <v>372</v>
      </c>
      <c r="F414" t="s">
        <v>472</v>
      </c>
      <c r="G414">
        <v>39</v>
      </c>
      <c r="H414" t="s">
        <v>56</v>
      </c>
      <c r="I414" t="s">
        <v>64</v>
      </c>
      <c r="J414" t="s">
        <v>50</v>
      </c>
      <c r="K414">
        <v>0</v>
      </c>
      <c r="L414">
        <v>0</v>
      </c>
      <c r="M414">
        <v>1</v>
      </c>
      <c r="O414">
        <v>0</v>
      </c>
      <c r="P414">
        <v>0</v>
      </c>
      <c r="Q414">
        <v>0</v>
      </c>
      <c r="R414" t="s">
        <v>62</v>
      </c>
      <c r="S414">
        <v>1</v>
      </c>
      <c r="T414">
        <v>0</v>
      </c>
      <c r="U414">
        <v>1</v>
      </c>
      <c r="W414">
        <v>0</v>
      </c>
      <c r="X414">
        <v>0</v>
      </c>
      <c r="Y414" t="s">
        <v>52</v>
      </c>
      <c r="Z414">
        <v>1</v>
      </c>
      <c r="AA414">
        <v>1</v>
      </c>
      <c r="AB414" t="s">
        <v>359</v>
      </c>
      <c r="AC414" t="s">
        <v>98</v>
      </c>
      <c r="AD414" t="s">
        <v>131</v>
      </c>
      <c r="AE414">
        <v>1</v>
      </c>
      <c r="AF414">
        <v>1</v>
      </c>
    </row>
    <row r="415" spans="1:32" x14ac:dyDescent="0.2">
      <c r="A415" t="s">
        <v>92</v>
      </c>
      <c r="B415" t="s">
        <v>442</v>
      </c>
      <c r="C415" t="s">
        <v>443</v>
      </c>
      <c r="D415" t="s">
        <v>371</v>
      </c>
      <c r="E415" t="s">
        <v>372</v>
      </c>
      <c r="F415" t="s">
        <v>473</v>
      </c>
      <c r="G415">
        <v>40</v>
      </c>
      <c r="H415" t="s">
        <v>48</v>
      </c>
      <c r="I415" t="s">
        <v>64</v>
      </c>
      <c r="J415" t="s">
        <v>144</v>
      </c>
      <c r="K415">
        <v>0</v>
      </c>
      <c r="L415">
        <v>1</v>
      </c>
      <c r="M415">
        <v>1</v>
      </c>
      <c r="O415">
        <v>0</v>
      </c>
      <c r="P415">
        <v>0</v>
      </c>
      <c r="Q415">
        <v>0</v>
      </c>
      <c r="R415" t="s">
        <v>60</v>
      </c>
      <c r="S415">
        <v>0</v>
      </c>
      <c r="T415">
        <v>1</v>
      </c>
      <c r="U415">
        <v>1</v>
      </c>
      <c r="V415" t="s">
        <v>52</v>
      </c>
      <c r="W415">
        <v>1</v>
      </c>
      <c r="X415">
        <v>1</v>
      </c>
      <c r="Y415" t="s">
        <v>52</v>
      </c>
      <c r="Z415">
        <v>1</v>
      </c>
      <c r="AA415">
        <v>1</v>
      </c>
      <c r="AB415" t="s">
        <v>359</v>
      </c>
      <c r="AC415" t="s">
        <v>98</v>
      </c>
      <c r="AD415" t="s">
        <v>98</v>
      </c>
      <c r="AE415">
        <v>1</v>
      </c>
      <c r="AF415">
        <v>1</v>
      </c>
    </row>
    <row r="416" spans="1:32" x14ac:dyDescent="0.2">
      <c r="A416" t="s">
        <v>92</v>
      </c>
      <c r="B416" t="s">
        <v>442</v>
      </c>
      <c r="C416" t="s">
        <v>443</v>
      </c>
      <c r="D416" t="s">
        <v>371</v>
      </c>
      <c r="E416" t="s">
        <v>372</v>
      </c>
      <c r="F416" t="s">
        <v>474</v>
      </c>
      <c r="G416">
        <v>39</v>
      </c>
      <c r="H416" t="s">
        <v>48</v>
      </c>
      <c r="I416" t="s">
        <v>64</v>
      </c>
      <c r="J416" t="s">
        <v>50</v>
      </c>
      <c r="K416">
        <v>0</v>
      </c>
      <c r="L416">
        <v>0</v>
      </c>
      <c r="M416">
        <v>1</v>
      </c>
      <c r="O416">
        <v>0</v>
      </c>
      <c r="P416">
        <v>0</v>
      </c>
      <c r="Q416">
        <v>0</v>
      </c>
      <c r="R416" t="s">
        <v>62</v>
      </c>
      <c r="S416">
        <v>1</v>
      </c>
      <c r="T416">
        <v>0</v>
      </c>
      <c r="U416">
        <v>1</v>
      </c>
      <c r="V416" t="s">
        <v>53</v>
      </c>
      <c r="W416">
        <v>0</v>
      </c>
      <c r="X416">
        <v>1</v>
      </c>
      <c r="Y416" t="s">
        <v>53</v>
      </c>
      <c r="Z416">
        <v>0</v>
      </c>
      <c r="AA416">
        <v>1</v>
      </c>
      <c r="AB416" t="s">
        <v>359</v>
      </c>
      <c r="AC416" t="s">
        <v>98</v>
      </c>
      <c r="AD416" t="s">
        <v>98</v>
      </c>
      <c r="AE416">
        <v>1</v>
      </c>
      <c r="AF416">
        <v>1</v>
      </c>
    </row>
    <row r="417" spans="1:32" x14ac:dyDescent="0.2">
      <c r="A417" t="s">
        <v>92</v>
      </c>
      <c r="B417" t="s">
        <v>442</v>
      </c>
      <c r="C417" t="s">
        <v>443</v>
      </c>
      <c r="D417" t="s">
        <v>371</v>
      </c>
      <c r="E417" t="s">
        <v>372</v>
      </c>
      <c r="F417" t="s">
        <v>475</v>
      </c>
      <c r="G417">
        <v>41</v>
      </c>
      <c r="H417" t="s">
        <v>56</v>
      </c>
      <c r="I417" t="s">
        <v>64</v>
      </c>
      <c r="J417" t="s">
        <v>50</v>
      </c>
      <c r="K417">
        <v>0</v>
      </c>
      <c r="L417">
        <v>0</v>
      </c>
      <c r="M417">
        <v>1</v>
      </c>
      <c r="O417">
        <v>0</v>
      </c>
      <c r="P417">
        <v>0</v>
      </c>
      <c r="Q417">
        <v>0</v>
      </c>
      <c r="R417" t="s">
        <v>51</v>
      </c>
      <c r="S417">
        <v>0</v>
      </c>
      <c r="T417">
        <v>0</v>
      </c>
      <c r="U417">
        <v>1</v>
      </c>
      <c r="V417" t="s">
        <v>53</v>
      </c>
      <c r="W417">
        <v>0</v>
      </c>
      <c r="X417">
        <v>1</v>
      </c>
      <c r="Y417" t="s">
        <v>53</v>
      </c>
      <c r="Z417">
        <v>0</v>
      </c>
      <c r="AA417">
        <v>1</v>
      </c>
      <c r="AB417" t="s">
        <v>359</v>
      </c>
      <c r="AC417" t="s">
        <v>98</v>
      </c>
      <c r="AD417" t="s">
        <v>98</v>
      </c>
      <c r="AE417">
        <v>1</v>
      </c>
      <c r="AF417">
        <v>1</v>
      </c>
    </row>
    <row r="418" spans="1:32" x14ac:dyDescent="0.2">
      <c r="A418" t="s">
        <v>92</v>
      </c>
      <c r="B418" t="s">
        <v>442</v>
      </c>
      <c r="C418" t="s">
        <v>443</v>
      </c>
      <c r="D418" t="s">
        <v>371</v>
      </c>
      <c r="E418" t="s">
        <v>372</v>
      </c>
      <c r="F418" t="s">
        <v>476</v>
      </c>
      <c r="G418">
        <v>43</v>
      </c>
      <c r="H418" t="s">
        <v>56</v>
      </c>
      <c r="I418" t="s">
        <v>64</v>
      </c>
      <c r="J418" t="s">
        <v>59</v>
      </c>
      <c r="K418">
        <v>1</v>
      </c>
      <c r="L418">
        <v>0</v>
      </c>
      <c r="M418">
        <v>1</v>
      </c>
      <c r="N418" t="s">
        <v>73</v>
      </c>
      <c r="O418">
        <v>1</v>
      </c>
      <c r="P418">
        <v>0</v>
      </c>
      <c r="Q418">
        <v>1</v>
      </c>
      <c r="R418" t="s">
        <v>62</v>
      </c>
      <c r="S418">
        <v>1</v>
      </c>
      <c r="T418">
        <v>0</v>
      </c>
      <c r="U418">
        <v>1</v>
      </c>
      <c r="V418" t="s">
        <v>53</v>
      </c>
      <c r="W418">
        <v>0</v>
      </c>
      <c r="X418">
        <v>1</v>
      </c>
      <c r="Y418" t="s">
        <v>53</v>
      </c>
      <c r="Z418">
        <v>0</v>
      </c>
      <c r="AA418">
        <v>1</v>
      </c>
      <c r="AB418" t="s">
        <v>359</v>
      </c>
      <c r="AC418" t="s">
        <v>98</v>
      </c>
      <c r="AD418" t="s">
        <v>98</v>
      </c>
      <c r="AE418">
        <v>1</v>
      </c>
      <c r="AF418">
        <v>1</v>
      </c>
    </row>
    <row r="419" spans="1:32" x14ac:dyDescent="0.2">
      <c r="A419" t="s">
        <v>92</v>
      </c>
      <c r="B419" t="s">
        <v>442</v>
      </c>
      <c r="C419" t="s">
        <v>443</v>
      </c>
      <c r="D419" t="s">
        <v>371</v>
      </c>
      <c r="E419" t="s">
        <v>372</v>
      </c>
      <c r="F419" t="s">
        <v>477</v>
      </c>
      <c r="G419">
        <v>31</v>
      </c>
      <c r="H419" t="s">
        <v>56</v>
      </c>
      <c r="I419" t="s">
        <v>49</v>
      </c>
      <c r="J419" t="s">
        <v>50</v>
      </c>
      <c r="K419">
        <v>0</v>
      </c>
      <c r="L419">
        <v>0</v>
      </c>
      <c r="M419">
        <v>1</v>
      </c>
      <c r="N419" t="s">
        <v>50</v>
      </c>
      <c r="O419">
        <v>0</v>
      </c>
      <c r="P419">
        <v>0</v>
      </c>
      <c r="Q419">
        <v>1</v>
      </c>
      <c r="R419" t="s">
        <v>62</v>
      </c>
      <c r="S419">
        <v>1</v>
      </c>
      <c r="T419">
        <v>0</v>
      </c>
      <c r="U419">
        <v>1</v>
      </c>
      <c r="V419" t="s">
        <v>53</v>
      </c>
      <c r="W419">
        <v>0</v>
      </c>
      <c r="X419">
        <v>1</v>
      </c>
      <c r="Y419" t="s">
        <v>52</v>
      </c>
      <c r="Z419">
        <v>1</v>
      </c>
      <c r="AA419">
        <v>1</v>
      </c>
      <c r="AB419" t="s">
        <v>359</v>
      </c>
      <c r="AC419" t="s">
        <v>98</v>
      </c>
      <c r="AD419" t="s">
        <v>98</v>
      </c>
      <c r="AE419">
        <v>1</v>
      </c>
      <c r="AF419">
        <v>1</v>
      </c>
    </row>
    <row r="420" spans="1:32" x14ac:dyDescent="0.2">
      <c r="A420" t="s">
        <v>92</v>
      </c>
      <c r="B420" t="s">
        <v>442</v>
      </c>
      <c r="C420" t="s">
        <v>443</v>
      </c>
      <c r="D420" t="s">
        <v>371</v>
      </c>
      <c r="E420" t="s">
        <v>372</v>
      </c>
      <c r="F420" t="s">
        <v>478</v>
      </c>
      <c r="G420">
        <v>32</v>
      </c>
      <c r="H420" t="s">
        <v>48</v>
      </c>
      <c r="I420" t="s">
        <v>49</v>
      </c>
      <c r="J420" t="s">
        <v>50</v>
      </c>
      <c r="K420">
        <v>0</v>
      </c>
      <c r="L420">
        <v>0</v>
      </c>
      <c r="M420">
        <v>1</v>
      </c>
      <c r="O420">
        <v>0</v>
      </c>
      <c r="P420">
        <v>0</v>
      </c>
      <c r="Q420">
        <v>0</v>
      </c>
      <c r="R420" t="s">
        <v>60</v>
      </c>
      <c r="S420">
        <v>0</v>
      </c>
      <c r="T420">
        <v>1</v>
      </c>
      <c r="U420">
        <v>1</v>
      </c>
      <c r="V420" t="s">
        <v>53</v>
      </c>
      <c r="W420">
        <v>0</v>
      </c>
      <c r="X420">
        <v>1</v>
      </c>
      <c r="Y420" t="s">
        <v>52</v>
      </c>
      <c r="Z420">
        <v>1</v>
      </c>
      <c r="AA420">
        <v>1</v>
      </c>
      <c r="AB420" t="s">
        <v>359</v>
      </c>
      <c r="AC420" t="s">
        <v>98</v>
      </c>
      <c r="AD420" t="s">
        <v>98</v>
      </c>
      <c r="AE420">
        <v>1</v>
      </c>
      <c r="AF420">
        <v>1</v>
      </c>
    </row>
    <row r="421" spans="1:32" x14ac:dyDescent="0.2">
      <c r="A421" t="s">
        <v>92</v>
      </c>
      <c r="B421" t="s">
        <v>442</v>
      </c>
      <c r="C421" t="s">
        <v>443</v>
      </c>
      <c r="D421" t="s">
        <v>371</v>
      </c>
      <c r="E421" t="s">
        <v>372</v>
      </c>
      <c r="F421" t="s">
        <v>479</v>
      </c>
      <c r="G421">
        <v>48</v>
      </c>
      <c r="H421" t="s">
        <v>48</v>
      </c>
      <c r="I421" t="s">
        <v>70</v>
      </c>
      <c r="J421" t="s">
        <v>59</v>
      </c>
      <c r="K421">
        <v>1</v>
      </c>
      <c r="L421">
        <v>0</v>
      </c>
      <c r="M421">
        <v>1</v>
      </c>
      <c r="N421" t="s">
        <v>65</v>
      </c>
      <c r="O421">
        <v>0</v>
      </c>
      <c r="P421">
        <v>1</v>
      </c>
      <c r="Q421">
        <v>1</v>
      </c>
      <c r="R421" t="s">
        <v>51</v>
      </c>
      <c r="S421">
        <v>0</v>
      </c>
      <c r="T421">
        <v>0</v>
      </c>
      <c r="U421">
        <v>1</v>
      </c>
      <c r="W421">
        <v>0</v>
      </c>
      <c r="X421">
        <v>0</v>
      </c>
      <c r="Y421" t="s">
        <v>52</v>
      </c>
      <c r="Z421">
        <v>1</v>
      </c>
      <c r="AA421">
        <v>1</v>
      </c>
      <c r="AB421" t="s">
        <v>359</v>
      </c>
      <c r="AC421" t="s">
        <v>98</v>
      </c>
      <c r="AD421" t="s">
        <v>131</v>
      </c>
      <c r="AE421">
        <v>1</v>
      </c>
      <c r="AF421">
        <v>1</v>
      </c>
    </row>
    <row r="422" spans="1:32" x14ac:dyDescent="0.2">
      <c r="A422" t="s">
        <v>92</v>
      </c>
      <c r="B422" t="s">
        <v>442</v>
      </c>
      <c r="C422" t="s">
        <v>443</v>
      </c>
      <c r="D422" t="s">
        <v>371</v>
      </c>
      <c r="E422" t="s">
        <v>372</v>
      </c>
      <c r="F422" t="s">
        <v>480</v>
      </c>
      <c r="G422">
        <v>43</v>
      </c>
      <c r="H422" t="s">
        <v>56</v>
      </c>
      <c r="I422" t="s">
        <v>64</v>
      </c>
      <c r="J422" t="s">
        <v>50</v>
      </c>
      <c r="K422">
        <v>0</v>
      </c>
      <c r="L422">
        <v>0</v>
      </c>
      <c r="M422">
        <v>1</v>
      </c>
      <c r="N422" t="s">
        <v>50</v>
      </c>
      <c r="O422">
        <v>0</v>
      </c>
      <c r="P422">
        <v>0</v>
      </c>
      <c r="Q422">
        <v>1</v>
      </c>
      <c r="R422" t="s">
        <v>51</v>
      </c>
      <c r="S422">
        <v>0</v>
      </c>
      <c r="T422">
        <v>0</v>
      </c>
      <c r="U422">
        <v>1</v>
      </c>
      <c r="W422">
        <v>0</v>
      </c>
      <c r="X422">
        <v>0</v>
      </c>
      <c r="Y422" t="s">
        <v>53</v>
      </c>
      <c r="Z422">
        <v>0</v>
      </c>
      <c r="AA422">
        <v>1</v>
      </c>
      <c r="AB422" t="s">
        <v>359</v>
      </c>
      <c r="AC422" t="s">
        <v>98</v>
      </c>
      <c r="AD422" t="s">
        <v>131</v>
      </c>
      <c r="AE422">
        <v>1</v>
      </c>
      <c r="AF422">
        <v>1</v>
      </c>
    </row>
    <row r="423" spans="1:32" x14ac:dyDescent="0.2">
      <c r="A423" t="s">
        <v>92</v>
      </c>
      <c r="B423" t="s">
        <v>442</v>
      </c>
      <c r="C423" t="s">
        <v>443</v>
      </c>
      <c r="D423" t="s">
        <v>371</v>
      </c>
      <c r="E423" t="s">
        <v>372</v>
      </c>
      <c r="F423" t="s">
        <v>481</v>
      </c>
      <c r="G423">
        <v>35</v>
      </c>
      <c r="H423" t="s">
        <v>56</v>
      </c>
      <c r="I423" t="s">
        <v>49</v>
      </c>
      <c r="J423" t="s">
        <v>144</v>
      </c>
      <c r="K423">
        <v>0</v>
      </c>
      <c r="L423">
        <v>1</v>
      </c>
      <c r="M423">
        <v>1</v>
      </c>
      <c r="N423" t="s">
        <v>50</v>
      </c>
      <c r="O423">
        <v>0</v>
      </c>
      <c r="P423">
        <v>0</v>
      </c>
      <c r="Q423">
        <v>1</v>
      </c>
      <c r="S423">
        <v>0</v>
      </c>
      <c r="T423">
        <v>0</v>
      </c>
      <c r="U423">
        <v>0</v>
      </c>
      <c r="V423" t="s">
        <v>52</v>
      </c>
      <c r="W423">
        <v>1</v>
      </c>
      <c r="X423">
        <v>1</v>
      </c>
      <c r="Y423" t="s">
        <v>52</v>
      </c>
      <c r="Z423">
        <v>1</v>
      </c>
      <c r="AA423">
        <v>1</v>
      </c>
      <c r="AB423" t="s">
        <v>359</v>
      </c>
      <c r="AC423" t="s">
        <v>98</v>
      </c>
      <c r="AD423" t="s">
        <v>98</v>
      </c>
      <c r="AE423">
        <v>1</v>
      </c>
      <c r="AF423">
        <v>1</v>
      </c>
    </row>
    <row r="424" spans="1:32" x14ac:dyDescent="0.2">
      <c r="A424" t="s">
        <v>92</v>
      </c>
      <c r="B424" t="s">
        <v>442</v>
      </c>
      <c r="C424" t="s">
        <v>443</v>
      </c>
      <c r="D424" t="s">
        <v>371</v>
      </c>
      <c r="E424" t="s">
        <v>372</v>
      </c>
      <c r="F424" t="s">
        <v>482</v>
      </c>
      <c r="G424">
        <v>34</v>
      </c>
      <c r="H424" t="s">
        <v>56</v>
      </c>
      <c r="I424" t="s">
        <v>49</v>
      </c>
      <c r="J424" t="s">
        <v>144</v>
      </c>
      <c r="K424">
        <v>0</v>
      </c>
      <c r="L424">
        <v>1</v>
      </c>
      <c r="M424">
        <v>1</v>
      </c>
      <c r="N424" t="s">
        <v>65</v>
      </c>
      <c r="O424">
        <v>0</v>
      </c>
      <c r="P424">
        <v>1</v>
      </c>
      <c r="Q424">
        <v>1</v>
      </c>
      <c r="R424" t="s">
        <v>60</v>
      </c>
      <c r="S424">
        <v>0</v>
      </c>
      <c r="T424">
        <v>1</v>
      </c>
      <c r="U424">
        <v>1</v>
      </c>
      <c r="V424" t="s">
        <v>52</v>
      </c>
      <c r="W424">
        <v>1</v>
      </c>
      <c r="X424">
        <v>1</v>
      </c>
      <c r="Y424" t="s">
        <v>53</v>
      </c>
      <c r="Z424">
        <v>0</v>
      </c>
      <c r="AA424">
        <v>1</v>
      </c>
      <c r="AB424" t="s">
        <v>359</v>
      </c>
      <c r="AC424" t="s">
        <v>98</v>
      </c>
      <c r="AD424" t="s">
        <v>98</v>
      </c>
      <c r="AE424">
        <v>1</v>
      </c>
      <c r="AF424">
        <v>1</v>
      </c>
    </row>
    <row r="425" spans="1:32" x14ac:dyDescent="0.2">
      <c r="A425" t="s">
        <v>92</v>
      </c>
      <c r="B425" t="s">
        <v>442</v>
      </c>
      <c r="C425" t="s">
        <v>443</v>
      </c>
      <c r="D425" t="s">
        <v>371</v>
      </c>
      <c r="E425" t="s">
        <v>372</v>
      </c>
      <c r="F425" t="s">
        <v>483</v>
      </c>
      <c r="G425">
        <v>41</v>
      </c>
      <c r="H425" t="s">
        <v>48</v>
      </c>
      <c r="I425" t="s">
        <v>64</v>
      </c>
      <c r="J425" t="s">
        <v>50</v>
      </c>
      <c r="K425">
        <v>0</v>
      </c>
      <c r="L425">
        <v>0</v>
      </c>
      <c r="M425">
        <v>1</v>
      </c>
      <c r="N425" t="s">
        <v>50</v>
      </c>
      <c r="O425">
        <v>0</v>
      </c>
      <c r="P425">
        <v>0</v>
      </c>
      <c r="Q425">
        <v>1</v>
      </c>
      <c r="R425" t="s">
        <v>62</v>
      </c>
      <c r="S425">
        <v>1</v>
      </c>
      <c r="T425">
        <v>0</v>
      </c>
      <c r="U425">
        <v>1</v>
      </c>
      <c r="V425" t="s">
        <v>52</v>
      </c>
      <c r="W425">
        <v>1</v>
      </c>
      <c r="X425">
        <v>1</v>
      </c>
      <c r="Y425" t="s">
        <v>53</v>
      </c>
      <c r="Z425">
        <v>0</v>
      </c>
      <c r="AA425">
        <v>1</v>
      </c>
      <c r="AB425" t="s">
        <v>359</v>
      </c>
      <c r="AC425" t="s">
        <v>98</v>
      </c>
      <c r="AD425" t="s">
        <v>98</v>
      </c>
      <c r="AE425">
        <v>1</v>
      </c>
      <c r="AF425">
        <v>1</v>
      </c>
    </row>
    <row r="426" spans="1:32" x14ac:dyDescent="0.2">
      <c r="A426" t="s">
        <v>92</v>
      </c>
      <c r="B426" t="s">
        <v>442</v>
      </c>
      <c r="C426" t="s">
        <v>443</v>
      </c>
      <c r="D426" t="s">
        <v>371</v>
      </c>
      <c r="E426" t="s">
        <v>372</v>
      </c>
      <c r="F426" t="s">
        <v>484</v>
      </c>
      <c r="G426">
        <v>31</v>
      </c>
      <c r="H426" t="s">
        <v>56</v>
      </c>
      <c r="I426" t="s">
        <v>49</v>
      </c>
      <c r="J426" t="s">
        <v>50</v>
      </c>
      <c r="K426">
        <v>0</v>
      </c>
      <c r="L426">
        <v>0</v>
      </c>
      <c r="M426">
        <v>1</v>
      </c>
      <c r="O426">
        <v>0</v>
      </c>
      <c r="P426">
        <v>0</v>
      </c>
      <c r="Q426">
        <v>0</v>
      </c>
      <c r="R426" t="s">
        <v>51</v>
      </c>
      <c r="S426">
        <v>0</v>
      </c>
      <c r="T426">
        <v>0</v>
      </c>
      <c r="U426">
        <v>1</v>
      </c>
      <c r="V426" t="s">
        <v>53</v>
      </c>
      <c r="W426">
        <v>0</v>
      </c>
      <c r="X426">
        <v>1</v>
      </c>
      <c r="Y426" t="s">
        <v>53</v>
      </c>
      <c r="Z426">
        <v>0</v>
      </c>
      <c r="AA426">
        <v>1</v>
      </c>
      <c r="AB426" t="s">
        <v>359</v>
      </c>
      <c r="AC426" t="s">
        <v>98</v>
      </c>
      <c r="AD426" t="s">
        <v>98</v>
      </c>
      <c r="AE426">
        <v>1</v>
      </c>
      <c r="AF426">
        <v>1</v>
      </c>
    </row>
    <row r="427" spans="1:32" x14ac:dyDescent="0.2">
      <c r="A427" t="s">
        <v>92</v>
      </c>
      <c r="B427" t="s">
        <v>442</v>
      </c>
      <c r="C427" t="s">
        <v>443</v>
      </c>
      <c r="D427" t="s">
        <v>371</v>
      </c>
      <c r="E427" t="s">
        <v>372</v>
      </c>
      <c r="F427" t="s">
        <v>485</v>
      </c>
      <c r="G427">
        <v>44</v>
      </c>
      <c r="H427" t="s">
        <v>48</v>
      </c>
      <c r="I427" t="s">
        <v>64</v>
      </c>
      <c r="J427" t="s">
        <v>50</v>
      </c>
      <c r="K427">
        <v>0</v>
      </c>
      <c r="L427">
        <v>0</v>
      </c>
      <c r="M427">
        <v>1</v>
      </c>
      <c r="N427" t="s">
        <v>73</v>
      </c>
      <c r="O427">
        <v>1</v>
      </c>
      <c r="P427">
        <v>0</v>
      </c>
      <c r="Q427">
        <v>1</v>
      </c>
      <c r="R427" t="s">
        <v>60</v>
      </c>
      <c r="S427">
        <v>0</v>
      </c>
      <c r="T427">
        <v>1</v>
      </c>
      <c r="U427">
        <v>1</v>
      </c>
      <c r="V427" t="s">
        <v>52</v>
      </c>
      <c r="W427">
        <v>1</v>
      </c>
      <c r="X427">
        <v>1</v>
      </c>
      <c r="Y427" t="s">
        <v>53</v>
      </c>
      <c r="Z427">
        <v>0</v>
      </c>
      <c r="AA427">
        <v>1</v>
      </c>
      <c r="AB427" t="s">
        <v>359</v>
      </c>
      <c r="AC427" t="s">
        <v>98</v>
      </c>
      <c r="AD427" t="s">
        <v>98</v>
      </c>
      <c r="AE427">
        <v>1</v>
      </c>
      <c r="AF427">
        <v>1</v>
      </c>
    </row>
    <row r="428" spans="1:32" x14ac:dyDescent="0.2">
      <c r="A428" t="s">
        <v>92</v>
      </c>
      <c r="B428" t="s">
        <v>442</v>
      </c>
      <c r="C428" t="s">
        <v>443</v>
      </c>
      <c r="D428" t="s">
        <v>371</v>
      </c>
      <c r="E428" t="s">
        <v>372</v>
      </c>
      <c r="F428" t="s">
        <v>486</v>
      </c>
      <c r="G428">
        <v>27</v>
      </c>
      <c r="H428" t="s">
        <v>48</v>
      </c>
      <c r="I428" t="s">
        <v>49</v>
      </c>
      <c r="J428" t="s">
        <v>50</v>
      </c>
      <c r="K428">
        <v>0</v>
      </c>
      <c r="L428">
        <v>0</v>
      </c>
      <c r="M428">
        <v>1</v>
      </c>
      <c r="N428" t="s">
        <v>50</v>
      </c>
      <c r="O428">
        <v>0</v>
      </c>
      <c r="P428">
        <v>0</v>
      </c>
      <c r="Q428">
        <v>1</v>
      </c>
      <c r="R428" t="s">
        <v>62</v>
      </c>
      <c r="S428">
        <v>1</v>
      </c>
      <c r="T428">
        <v>0</v>
      </c>
      <c r="U428">
        <v>1</v>
      </c>
      <c r="W428">
        <v>0</v>
      </c>
      <c r="X428">
        <v>0</v>
      </c>
      <c r="Y428" t="s">
        <v>53</v>
      </c>
      <c r="Z428">
        <v>0</v>
      </c>
      <c r="AA428">
        <v>1</v>
      </c>
      <c r="AB428" t="s">
        <v>359</v>
      </c>
      <c r="AC428" t="s">
        <v>98</v>
      </c>
      <c r="AD428" t="s">
        <v>131</v>
      </c>
      <c r="AE428">
        <v>1</v>
      </c>
      <c r="AF428">
        <v>1</v>
      </c>
    </row>
    <row r="429" spans="1:32" x14ac:dyDescent="0.2">
      <c r="A429" t="s">
        <v>92</v>
      </c>
      <c r="B429" t="s">
        <v>442</v>
      </c>
      <c r="C429" t="s">
        <v>443</v>
      </c>
      <c r="D429" t="s">
        <v>371</v>
      </c>
      <c r="E429" t="s">
        <v>372</v>
      </c>
      <c r="F429" t="s">
        <v>487</v>
      </c>
      <c r="G429">
        <v>41</v>
      </c>
      <c r="H429" t="s">
        <v>56</v>
      </c>
      <c r="I429" t="s">
        <v>64</v>
      </c>
      <c r="J429" t="s">
        <v>50</v>
      </c>
      <c r="K429">
        <v>0</v>
      </c>
      <c r="L429">
        <v>0</v>
      </c>
      <c r="M429">
        <v>1</v>
      </c>
      <c r="N429" t="s">
        <v>73</v>
      </c>
      <c r="O429">
        <v>1</v>
      </c>
      <c r="P429">
        <v>0</v>
      </c>
      <c r="Q429">
        <v>1</v>
      </c>
      <c r="R429" t="s">
        <v>62</v>
      </c>
      <c r="S429">
        <v>1</v>
      </c>
      <c r="T429">
        <v>0</v>
      </c>
      <c r="U429">
        <v>1</v>
      </c>
      <c r="V429" t="s">
        <v>53</v>
      </c>
      <c r="W429">
        <v>0</v>
      </c>
      <c r="X429">
        <v>1</v>
      </c>
      <c r="Y429" t="s">
        <v>52</v>
      </c>
      <c r="Z429">
        <v>1</v>
      </c>
      <c r="AA429">
        <v>1</v>
      </c>
      <c r="AB429" t="s">
        <v>359</v>
      </c>
      <c r="AC429" t="s">
        <v>98</v>
      </c>
      <c r="AD429" t="s">
        <v>98</v>
      </c>
      <c r="AE429">
        <v>1</v>
      </c>
      <c r="AF429">
        <v>1</v>
      </c>
    </row>
    <row r="430" spans="1:32" x14ac:dyDescent="0.2">
      <c r="A430" t="s">
        <v>92</v>
      </c>
      <c r="B430" t="s">
        <v>442</v>
      </c>
      <c r="C430" t="s">
        <v>443</v>
      </c>
      <c r="D430" t="s">
        <v>371</v>
      </c>
      <c r="E430" t="s">
        <v>372</v>
      </c>
      <c r="F430" t="s">
        <v>488</v>
      </c>
      <c r="G430">
        <v>45</v>
      </c>
      <c r="H430" t="s">
        <v>48</v>
      </c>
      <c r="I430" t="s">
        <v>64</v>
      </c>
      <c r="J430" t="s">
        <v>59</v>
      </c>
      <c r="K430">
        <v>1</v>
      </c>
      <c r="L430">
        <v>0</v>
      </c>
      <c r="M430">
        <v>1</v>
      </c>
      <c r="N430" t="s">
        <v>73</v>
      </c>
      <c r="O430">
        <v>1</v>
      </c>
      <c r="P430">
        <v>0</v>
      </c>
      <c r="Q430">
        <v>1</v>
      </c>
      <c r="R430" t="s">
        <v>60</v>
      </c>
      <c r="S430">
        <v>0</v>
      </c>
      <c r="T430">
        <v>1</v>
      </c>
      <c r="U430">
        <v>1</v>
      </c>
      <c r="V430" t="s">
        <v>53</v>
      </c>
      <c r="W430">
        <v>0</v>
      </c>
      <c r="X430">
        <v>1</v>
      </c>
      <c r="Y430" t="s">
        <v>53</v>
      </c>
      <c r="Z430">
        <v>0</v>
      </c>
      <c r="AA430">
        <v>1</v>
      </c>
      <c r="AB430" t="s">
        <v>359</v>
      </c>
      <c r="AC430" t="s">
        <v>98</v>
      </c>
      <c r="AD430" t="s">
        <v>98</v>
      </c>
      <c r="AE430">
        <v>1</v>
      </c>
      <c r="AF430">
        <v>1</v>
      </c>
    </row>
    <row r="431" spans="1:32" x14ac:dyDescent="0.2">
      <c r="A431" t="s">
        <v>92</v>
      </c>
      <c r="B431" t="s">
        <v>442</v>
      </c>
      <c r="C431" t="s">
        <v>443</v>
      </c>
      <c r="D431" t="s">
        <v>371</v>
      </c>
      <c r="E431" t="s">
        <v>372</v>
      </c>
      <c r="F431" t="s">
        <v>489</v>
      </c>
      <c r="G431">
        <v>22</v>
      </c>
      <c r="H431" t="s">
        <v>56</v>
      </c>
      <c r="I431" t="s">
        <v>67</v>
      </c>
      <c r="J431" t="s">
        <v>50</v>
      </c>
      <c r="K431">
        <v>0</v>
      </c>
      <c r="L431">
        <v>0</v>
      </c>
      <c r="M431">
        <v>1</v>
      </c>
      <c r="N431" t="s">
        <v>50</v>
      </c>
      <c r="O431">
        <v>0</v>
      </c>
      <c r="P431">
        <v>0</v>
      </c>
      <c r="Q431">
        <v>1</v>
      </c>
      <c r="R431" t="s">
        <v>51</v>
      </c>
      <c r="S431">
        <v>0</v>
      </c>
      <c r="T431">
        <v>0</v>
      </c>
      <c r="U431">
        <v>1</v>
      </c>
      <c r="V431" t="s">
        <v>53</v>
      </c>
      <c r="W431">
        <v>0</v>
      </c>
      <c r="X431">
        <v>1</v>
      </c>
      <c r="Y431" t="s">
        <v>53</v>
      </c>
      <c r="Z431">
        <v>0</v>
      </c>
      <c r="AA431">
        <v>1</v>
      </c>
      <c r="AB431" t="s">
        <v>359</v>
      </c>
      <c r="AC431" t="s">
        <v>98</v>
      </c>
      <c r="AD431" t="s">
        <v>98</v>
      </c>
      <c r="AE431">
        <v>1</v>
      </c>
      <c r="AF431">
        <v>1</v>
      </c>
    </row>
    <row r="432" spans="1:32" x14ac:dyDescent="0.2">
      <c r="A432" t="s">
        <v>92</v>
      </c>
      <c r="B432" t="s">
        <v>442</v>
      </c>
      <c r="C432" t="s">
        <v>443</v>
      </c>
      <c r="D432" t="s">
        <v>371</v>
      </c>
      <c r="E432" t="s">
        <v>372</v>
      </c>
      <c r="F432" t="s">
        <v>490</v>
      </c>
      <c r="G432">
        <v>45</v>
      </c>
      <c r="H432" t="s">
        <v>56</v>
      </c>
      <c r="I432" t="s">
        <v>64</v>
      </c>
      <c r="J432" t="s">
        <v>50</v>
      </c>
      <c r="K432">
        <v>0</v>
      </c>
      <c r="L432">
        <v>0</v>
      </c>
      <c r="M432">
        <v>1</v>
      </c>
      <c r="N432" t="s">
        <v>50</v>
      </c>
      <c r="O432">
        <v>0</v>
      </c>
      <c r="P432">
        <v>0</v>
      </c>
      <c r="Q432">
        <v>1</v>
      </c>
      <c r="R432" t="s">
        <v>51</v>
      </c>
      <c r="S432">
        <v>0</v>
      </c>
      <c r="T432">
        <v>0</v>
      </c>
      <c r="U432">
        <v>1</v>
      </c>
      <c r="V432" t="s">
        <v>53</v>
      </c>
      <c r="W432">
        <v>0</v>
      </c>
      <c r="X432">
        <v>1</v>
      </c>
      <c r="Y432" t="s">
        <v>53</v>
      </c>
      <c r="Z432">
        <v>0</v>
      </c>
      <c r="AA432">
        <v>1</v>
      </c>
      <c r="AB432" t="s">
        <v>359</v>
      </c>
      <c r="AC432" t="s">
        <v>98</v>
      </c>
      <c r="AD432" t="s">
        <v>98</v>
      </c>
      <c r="AE432">
        <v>1</v>
      </c>
      <c r="AF432">
        <v>1</v>
      </c>
    </row>
    <row r="433" spans="1:32" x14ac:dyDescent="0.2">
      <c r="A433" t="s">
        <v>92</v>
      </c>
      <c r="B433" t="s">
        <v>442</v>
      </c>
      <c r="C433" t="s">
        <v>443</v>
      </c>
      <c r="D433" t="s">
        <v>371</v>
      </c>
      <c r="E433" t="s">
        <v>372</v>
      </c>
      <c r="F433" t="s">
        <v>491</v>
      </c>
      <c r="G433">
        <v>34</v>
      </c>
      <c r="H433" t="s">
        <v>56</v>
      </c>
      <c r="I433" t="s">
        <v>49</v>
      </c>
      <c r="J433" t="s">
        <v>50</v>
      </c>
      <c r="K433">
        <v>0</v>
      </c>
      <c r="L433">
        <v>0</v>
      </c>
      <c r="M433">
        <v>1</v>
      </c>
      <c r="N433" t="s">
        <v>50</v>
      </c>
      <c r="O433">
        <v>0</v>
      </c>
      <c r="P433">
        <v>0</v>
      </c>
      <c r="Q433">
        <v>1</v>
      </c>
      <c r="R433" t="s">
        <v>51</v>
      </c>
      <c r="S433">
        <v>0</v>
      </c>
      <c r="T433">
        <v>0</v>
      </c>
      <c r="U433">
        <v>1</v>
      </c>
      <c r="V433" t="s">
        <v>53</v>
      </c>
      <c r="W433">
        <v>0</v>
      </c>
      <c r="X433">
        <v>1</v>
      </c>
      <c r="Y433" t="s">
        <v>53</v>
      </c>
      <c r="Z433">
        <v>0</v>
      </c>
      <c r="AA433">
        <v>1</v>
      </c>
      <c r="AB433" t="s">
        <v>359</v>
      </c>
      <c r="AC433" t="s">
        <v>98</v>
      </c>
      <c r="AD433" t="s">
        <v>98</v>
      </c>
      <c r="AE433">
        <v>1</v>
      </c>
      <c r="AF433">
        <v>1</v>
      </c>
    </row>
    <row r="434" spans="1:32" x14ac:dyDescent="0.2">
      <c r="A434" t="s">
        <v>92</v>
      </c>
      <c r="B434" t="s">
        <v>442</v>
      </c>
      <c r="C434" t="s">
        <v>443</v>
      </c>
      <c r="D434" t="s">
        <v>371</v>
      </c>
      <c r="E434" t="s">
        <v>372</v>
      </c>
      <c r="F434" t="s">
        <v>492</v>
      </c>
      <c r="G434">
        <v>43</v>
      </c>
      <c r="H434" t="s">
        <v>48</v>
      </c>
      <c r="I434" t="s">
        <v>64</v>
      </c>
      <c r="J434" t="s">
        <v>50</v>
      </c>
      <c r="K434">
        <v>0</v>
      </c>
      <c r="L434">
        <v>0</v>
      </c>
      <c r="M434">
        <v>1</v>
      </c>
      <c r="O434">
        <v>0</v>
      </c>
      <c r="P434">
        <v>0</v>
      </c>
      <c r="Q434">
        <v>0</v>
      </c>
      <c r="R434" t="s">
        <v>60</v>
      </c>
      <c r="S434">
        <v>0</v>
      </c>
      <c r="T434">
        <v>1</v>
      </c>
      <c r="U434">
        <v>1</v>
      </c>
      <c r="V434" t="s">
        <v>53</v>
      </c>
      <c r="W434">
        <v>0</v>
      </c>
      <c r="X434">
        <v>1</v>
      </c>
      <c r="Y434" t="s">
        <v>53</v>
      </c>
      <c r="Z434">
        <v>0</v>
      </c>
      <c r="AA434">
        <v>1</v>
      </c>
      <c r="AB434" t="s">
        <v>359</v>
      </c>
      <c r="AC434" t="s">
        <v>98</v>
      </c>
      <c r="AD434" t="s">
        <v>98</v>
      </c>
      <c r="AE434">
        <v>1</v>
      </c>
      <c r="AF434">
        <v>1</v>
      </c>
    </row>
    <row r="435" spans="1:32" x14ac:dyDescent="0.2">
      <c r="A435" t="s">
        <v>92</v>
      </c>
      <c r="B435" t="s">
        <v>442</v>
      </c>
      <c r="C435" t="s">
        <v>443</v>
      </c>
      <c r="D435" t="s">
        <v>371</v>
      </c>
      <c r="E435" t="s">
        <v>372</v>
      </c>
      <c r="F435" t="s">
        <v>493</v>
      </c>
      <c r="G435">
        <v>39</v>
      </c>
      <c r="H435" t="s">
        <v>48</v>
      </c>
      <c r="I435" t="s">
        <v>64</v>
      </c>
      <c r="J435" t="s">
        <v>50</v>
      </c>
      <c r="K435">
        <v>0</v>
      </c>
      <c r="L435">
        <v>0</v>
      </c>
      <c r="M435">
        <v>1</v>
      </c>
      <c r="O435">
        <v>0</v>
      </c>
      <c r="P435">
        <v>0</v>
      </c>
      <c r="Q435">
        <v>0</v>
      </c>
      <c r="R435" t="s">
        <v>62</v>
      </c>
      <c r="S435">
        <v>1</v>
      </c>
      <c r="T435">
        <v>0</v>
      </c>
      <c r="U435">
        <v>1</v>
      </c>
      <c r="W435">
        <v>0</v>
      </c>
      <c r="X435">
        <v>0</v>
      </c>
      <c r="Y435" t="s">
        <v>52</v>
      </c>
      <c r="Z435">
        <v>1</v>
      </c>
      <c r="AA435">
        <v>1</v>
      </c>
      <c r="AB435" t="s">
        <v>359</v>
      </c>
      <c r="AC435" t="s">
        <v>98</v>
      </c>
      <c r="AD435" t="s">
        <v>131</v>
      </c>
      <c r="AE435">
        <v>1</v>
      </c>
      <c r="AF435">
        <v>1</v>
      </c>
    </row>
    <row r="436" spans="1:32" x14ac:dyDescent="0.2">
      <c r="A436" t="s">
        <v>92</v>
      </c>
      <c r="B436" t="s">
        <v>442</v>
      </c>
      <c r="C436" t="s">
        <v>443</v>
      </c>
      <c r="D436" t="s">
        <v>371</v>
      </c>
      <c r="E436" t="s">
        <v>372</v>
      </c>
      <c r="F436" t="s">
        <v>494</v>
      </c>
      <c r="G436">
        <v>30</v>
      </c>
      <c r="H436" t="s">
        <v>48</v>
      </c>
      <c r="I436" t="s">
        <v>49</v>
      </c>
      <c r="J436" t="s">
        <v>50</v>
      </c>
      <c r="K436">
        <v>0</v>
      </c>
      <c r="L436">
        <v>0</v>
      </c>
      <c r="M436">
        <v>1</v>
      </c>
      <c r="O436">
        <v>0</v>
      </c>
      <c r="P436">
        <v>0</v>
      </c>
      <c r="Q436">
        <v>0</v>
      </c>
      <c r="R436" t="s">
        <v>62</v>
      </c>
      <c r="S436">
        <v>1</v>
      </c>
      <c r="T436">
        <v>0</v>
      </c>
      <c r="U436">
        <v>1</v>
      </c>
      <c r="V436" t="s">
        <v>53</v>
      </c>
      <c r="W436">
        <v>0</v>
      </c>
      <c r="X436">
        <v>1</v>
      </c>
      <c r="Y436" t="s">
        <v>53</v>
      </c>
      <c r="Z436">
        <v>0</v>
      </c>
      <c r="AA436">
        <v>1</v>
      </c>
      <c r="AB436" t="s">
        <v>359</v>
      </c>
      <c r="AC436" t="s">
        <v>98</v>
      </c>
      <c r="AD436" t="s">
        <v>98</v>
      </c>
      <c r="AE436">
        <v>1</v>
      </c>
      <c r="AF436">
        <v>1</v>
      </c>
    </row>
    <row r="437" spans="1:32" x14ac:dyDescent="0.2">
      <c r="A437" t="s">
        <v>92</v>
      </c>
      <c r="B437" t="s">
        <v>442</v>
      </c>
      <c r="C437" t="s">
        <v>443</v>
      </c>
      <c r="D437" t="s">
        <v>371</v>
      </c>
      <c r="E437" t="s">
        <v>372</v>
      </c>
      <c r="F437" t="s">
        <v>495</v>
      </c>
      <c r="G437">
        <v>30</v>
      </c>
      <c r="H437" t="s">
        <v>48</v>
      </c>
      <c r="I437" t="s">
        <v>49</v>
      </c>
      <c r="J437" t="s">
        <v>144</v>
      </c>
      <c r="K437">
        <v>0</v>
      </c>
      <c r="L437">
        <v>1</v>
      </c>
      <c r="M437">
        <v>1</v>
      </c>
      <c r="N437" t="s">
        <v>65</v>
      </c>
      <c r="O437">
        <v>0</v>
      </c>
      <c r="P437">
        <v>1</v>
      </c>
      <c r="Q437">
        <v>1</v>
      </c>
      <c r="R437" t="s">
        <v>62</v>
      </c>
      <c r="S437">
        <v>1</v>
      </c>
      <c r="T437">
        <v>0</v>
      </c>
      <c r="U437">
        <v>1</v>
      </c>
      <c r="V437" t="s">
        <v>53</v>
      </c>
      <c r="W437">
        <v>0</v>
      </c>
      <c r="X437">
        <v>1</v>
      </c>
      <c r="Y437" t="s">
        <v>53</v>
      </c>
      <c r="Z437">
        <v>0</v>
      </c>
      <c r="AA437">
        <v>1</v>
      </c>
      <c r="AB437" t="s">
        <v>359</v>
      </c>
      <c r="AC437" t="s">
        <v>98</v>
      </c>
      <c r="AD437" t="s">
        <v>98</v>
      </c>
      <c r="AE437">
        <v>1</v>
      </c>
      <c r="AF437">
        <v>1</v>
      </c>
    </row>
    <row r="438" spans="1:32" x14ac:dyDescent="0.2">
      <c r="A438" t="s">
        <v>92</v>
      </c>
      <c r="B438" t="s">
        <v>442</v>
      </c>
      <c r="C438" t="s">
        <v>443</v>
      </c>
      <c r="D438" t="s">
        <v>371</v>
      </c>
      <c r="E438" t="s">
        <v>372</v>
      </c>
      <c r="F438" t="s">
        <v>496</v>
      </c>
      <c r="G438">
        <v>39</v>
      </c>
      <c r="H438" t="s">
        <v>48</v>
      </c>
      <c r="I438" t="s">
        <v>64</v>
      </c>
      <c r="J438" t="s">
        <v>50</v>
      </c>
      <c r="K438">
        <v>0</v>
      </c>
      <c r="L438">
        <v>0</v>
      </c>
      <c r="M438">
        <v>1</v>
      </c>
      <c r="N438" t="s">
        <v>50</v>
      </c>
      <c r="O438">
        <v>0</v>
      </c>
      <c r="P438">
        <v>0</v>
      </c>
      <c r="Q438">
        <v>1</v>
      </c>
      <c r="R438" t="s">
        <v>62</v>
      </c>
      <c r="S438">
        <v>1</v>
      </c>
      <c r="T438">
        <v>0</v>
      </c>
      <c r="U438">
        <v>1</v>
      </c>
      <c r="V438" t="s">
        <v>52</v>
      </c>
      <c r="W438">
        <v>1</v>
      </c>
      <c r="X438">
        <v>1</v>
      </c>
      <c r="Y438" t="s">
        <v>52</v>
      </c>
      <c r="Z438">
        <v>1</v>
      </c>
      <c r="AA438">
        <v>1</v>
      </c>
      <c r="AB438" t="s">
        <v>359</v>
      </c>
      <c r="AC438" t="s">
        <v>98</v>
      </c>
      <c r="AD438" t="s">
        <v>98</v>
      </c>
      <c r="AE438">
        <v>1</v>
      </c>
      <c r="AF438">
        <v>1</v>
      </c>
    </row>
    <row r="439" spans="1:32" x14ac:dyDescent="0.2">
      <c r="A439" t="s">
        <v>92</v>
      </c>
      <c r="B439" t="s">
        <v>442</v>
      </c>
      <c r="C439" t="s">
        <v>443</v>
      </c>
      <c r="D439" t="s">
        <v>371</v>
      </c>
      <c r="E439" t="s">
        <v>372</v>
      </c>
      <c r="F439" t="s">
        <v>497</v>
      </c>
      <c r="G439">
        <v>41</v>
      </c>
      <c r="H439" t="s">
        <v>48</v>
      </c>
      <c r="I439" t="s">
        <v>64</v>
      </c>
      <c r="J439" t="s">
        <v>50</v>
      </c>
      <c r="K439">
        <v>0</v>
      </c>
      <c r="L439">
        <v>0</v>
      </c>
      <c r="M439">
        <v>1</v>
      </c>
      <c r="N439" t="s">
        <v>65</v>
      </c>
      <c r="O439">
        <v>0</v>
      </c>
      <c r="P439">
        <v>1</v>
      </c>
      <c r="Q439">
        <v>1</v>
      </c>
      <c r="R439" t="s">
        <v>60</v>
      </c>
      <c r="S439">
        <v>0</v>
      </c>
      <c r="T439">
        <v>1</v>
      </c>
      <c r="U439">
        <v>1</v>
      </c>
      <c r="V439" t="s">
        <v>53</v>
      </c>
      <c r="W439">
        <v>0</v>
      </c>
      <c r="X439">
        <v>1</v>
      </c>
      <c r="Y439" t="s">
        <v>52</v>
      </c>
      <c r="Z439">
        <v>1</v>
      </c>
      <c r="AA439">
        <v>1</v>
      </c>
      <c r="AB439" t="s">
        <v>359</v>
      </c>
      <c r="AC439" t="s">
        <v>98</v>
      </c>
      <c r="AD439" t="s">
        <v>98</v>
      </c>
      <c r="AE439">
        <v>1</v>
      </c>
      <c r="AF439">
        <v>1</v>
      </c>
    </row>
    <row r="440" spans="1:32" x14ac:dyDescent="0.2">
      <c r="A440" t="s">
        <v>92</v>
      </c>
      <c r="B440" t="s">
        <v>442</v>
      </c>
      <c r="C440" t="s">
        <v>443</v>
      </c>
      <c r="D440" t="s">
        <v>371</v>
      </c>
      <c r="E440" t="s">
        <v>372</v>
      </c>
      <c r="F440" t="s">
        <v>498</v>
      </c>
      <c r="G440">
        <v>42</v>
      </c>
      <c r="H440" t="s">
        <v>56</v>
      </c>
      <c r="I440" t="s">
        <v>64</v>
      </c>
      <c r="J440" t="s">
        <v>144</v>
      </c>
      <c r="K440">
        <v>0</v>
      </c>
      <c r="L440">
        <v>1</v>
      </c>
      <c r="M440">
        <v>1</v>
      </c>
      <c r="N440" t="s">
        <v>65</v>
      </c>
      <c r="O440">
        <v>0</v>
      </c>
      <c r="P440">
        <v>1</v>
      </c>
      <c r="Q440">
        <v>1</v>
      </c>
      <c r="R440" t="s">
        <v>60</v>
      </c>
      <c r="S440">
        <v>0</v>
      </c>
      <c r="T440">
        <v>1</v>
      </c>
      <c r="U440">
        <v>1</v>
      </c>
      <c r="V440" t="s">
        <v>52</v>
      </c>
      <c r="W440">
        <v>1</v>
      </c>
      <c r="X440">
        <v>1</v>
      </c>
      <c r="Y440" t="s">
        <v>53</v>
      </c>
      <c r="Z440">
        <v>0</v>
      </c>
      <c r="AA440">
        <v>1</v>
      </c>
      <c r="AB440" t="s">
        <v>359</v>
      </c>
      <c r="AC440" t="s">
        <v>98</v>
      </c>
      <c r="AD440" t="s">
        <v>98</v>
      </c>
      <c r="AE440">
        <v>1</v>
      </c>
      <c r="AF440">
        <v>1</v>
      </c>
    </row>
    <row r="441" spans="1:32" x14ac:dyDescent="0.2">
      <c r="A441" t="s">
        <v>92</v>
      </c>
      <c r="B441" t="s">
        <v>442</v>
      </c>
      <c r="C441" t="s">
        <v>443</v>
      </c>
      <c r="D441" t="s">
        <v>371</v>
      </c>
      <c r="E441" t="s">
        <v>372</v>
      </c>
      <c r="F441" t="s">
        <v>499</v>
      </c>
      <c r="G441">
        <v>39</v>
      </c>
      <c r="H441" t="s">
        <v>56</v>
      </c>
      <c r="I441" t="s">
        <v>64</v>
      </c>
      <c r="J441" t="s">
        <v>50</v>
      </c>
      <c r="K441">
        <v>0</v>
      </c>
      <c r="L441">
        <v>0</v>
      </c>
      <c r="M441">
        <v>1</v>
      </c>
      <c r="O441">
        <v>0</v>
      </c>
      <c r="P441">
        <v>0</v>
      </c>
      <c r="Q441">
        <v>0</v>
      </c>
      <c r="R441" t="s">
        <v>62</v>
      </c>
      <c r="S441">
        <v>1</v>
      </c>
      <c r="T441">
        <v>0</v>
      </c>
      <c r="U441">
        <v>1</v>
      </c>
      <c r="V441" t="s">
        <v>53</v>
      </c>
      <c r="W441">
        <v>0</v>
      </c>
      <c r="X441">
        <v>1</v>
      </c>
      <c r="Y441" t="s">
        <v>53</v>
      </c>
      <c r="Z441">
        <v>0</v>
      </c>
      <c r="AA441">
        <v>1</v>
      </c>
      <c r="AB441" t="s">
        <v>359</v>
      </c>
      <c r="AC441" t="s">
        <v>98</v>
      </c>
      <c r="AD441" t="s">
        <v>98</v>
      </c>
      <c r="AE441">
        <v>1</v>
      </c>
      <c r="AF441">
        <v>1</v>
      </c>
    </row>
    <row r="442" spans="1:32" x14ac:dyDescent="0.2">
      <c r="A442" t="s">
        <v>92</v>
      </c>
      <c r="B442" t="s">
        <v>442</v>
      </c>
      <c r="C442" t="s">
        <v>443</v>
      </c>
      <c r="D442" t="s">
        <v>371</v>
      </c>
      <c r="E442" t="s">
        <v>372</v>
      </c>
      <c r="F442" t="s">
        <v>500</v>
      </c>
      <c r="G442">
        <v>32</v>
      </c>
      <c r="H442" t="s">
        <v>56</v>
      </c>
      <c r="I442" t="s">
        <v>49</v>
      </c>
      <c r="J442" t="s">
        <v>50</v>
      </c>
      <c r="K442">
        <v>0</v>
      </c>
      <c r="L442">
        <v>0</v>
      </c>
      <c r="M442">
        <v>1</v>
      </c>
      <c r="N442" t="s">
        <v>65</v>
      </c>
      <c r="O442">
        <v>0</v>
      </c>
      <c r="P442">
        <v>1</v>
      </c>
      <c r="Q442">
        <v>1</v>
      </c>
      <c r="R442" t="s">
        <v>60</v>
      </c>
      <c r="S442">
        <v>0</v>
      </c>
      <c r="T442">
        <v>1</v>
      </c>
      <c r="U442">
        <v>1</v>
      </c>
      <c r="V442" t="s">
        <v>53</v>
      </c>
      <c r="W442">
        <v>0</v>
      </c>
      <c r="X442">
        <v>1</v>
      </c>
      <c r="Y442" t="s">
        <v>53</v>
      </c>
      <c r="Z442">
        <v>0</v>
      </c>
      <c r="AA442">
        <v>1</v>
      </c>
      <c r="AB442" t="s">
        <v>359</v>
      </c>
      <c r="AC442" t="s">
        <v>98</v>
      </c>
      <c r="AD442" t="s">
        <v>98</v>
      </c>
      <c r="AE442">
        <v>1</v>
      </c>
      <c r="AF442">
        <v>1</v>
      </c>
    </row>
    <row r="443" spans="1:32" x14ac:dyDescent="0.2">
      <c r="A443" t="s">
        <v>92</v>
      </c>
      <c r="B443" t="s">
        <v>442</v>
      </c>
      <c r="C443" t="s">
        <v>443</v>
      </c>
      <c r="D443" t="s">
        <v>371</v>
      </c>
      <c r="E443" t="s">
        <v>372</v>
      </c>
      <c r="F443" t="s">
        <v>501</v>
      </c>
      <c r="G443">
        <v>33</v>
      </c>
      <c r="H443" t="s">
        <v>48</v>
      </c>
      <c r="I443" t="s">
        <v>49</v>
      </c>
      <c r="J443" t="s">
        <v>50</v>
      </c>
      <c r="K443">
        <v>0</v>
      </c>
      <c r="L443">
        <v>0</v>
      </c>
      <c r="M443">
        <v>1</v>
      </c>
      <c r="O443">
        <v>0</v>
      </c>
      <c r="P443">
        <v>0</v>
      </c>
      <c r="Q443">
        <v>0</v>
      </c>
      <c r="R443" t="s">
        <v>62</v>
      </c>
      <c r="S443">
        <v>1</v>
      </c>
      <c r="T443">
        <v>0</v>
      </c>
      <c r="U443">
        <v>1</v>
      </c>
      <c r="V443" t="s">
        <v>52</v>
      </c>
      <c r="W443">
        <v>1</v>
      </c>
      <c r="X443">
        <v>1</v>
      </c>
      <c r="Y443" t="s">
        <v>52</v>
      </c>
      <c r="Z443">
        <v>1</v>
      </c>
      <c r="AA443">
        <v>1</v>
      </c>
      <c r="AB443" t="s">
        <v>359</v>
      </c>
      <c r="AC443" t="s">
        <v>98</v>
      </c>
      <c r="AD443" t="s">
        <v>98</v>
      </c>
      <c r="AE443">
        <v>1</v>
      </c>
      <c r="AF443">
        <v>1</v>
      </c>
    </row>
    <row r="444" spans="1:32" x14ac:dyDescent="0.2">
      <c r="A444" t="s">
        <v>92</v>
      </c>
      <c r="B444" t="s">
        <v>442</v>
      </c>
      <c r="C444" t="s">
        <v>443</v>
      </c>
      <c r="D444" t="s">
        <v>371</v>
      </c>
      <c r="E444" t="s">
        <v>372</v>
      </c>
      <c r="F444" t="s">
        <v>502</v>
      </c>
      <c r="G444">
        <v>47</v>
      </c>
      <c r="H444" t="s">
        <v>56</v>
      </c>
      <c r="I444" t="s">
        <v>70</v>
      </c>
      <c r="K444">
        <v>0</v>
      </c>
      <c r="L444">
        <v>0</v>
      </c>
      <c r="M444">
        <v>0</v>
      </c>
      <c r="N444" t="s">
        <v>50</v>
      </c>
      <c r="O444">
        <v>0</v>
      </c>
      <c r="P444">
        <v>0</v>
      </c>
      <c r="Q444">
        <v>1</v>
      </c>
      <c r="R444" t="s">
        <v>62</v>
      </c>
      <c r="S444">
        <v>1</v>
      </c>
      <c r="T444">
        <v>0</v>
      </c>
      <c r="U444">
        <v>1</v>
      </c>
      <c r="V444" t="s">
        <v>53</v>
      </c>
      <c r="W444">
        <v>0</v>
      </c>
      <c r="X444">
        <v>1</v>
      </c>
      <c r="Y444" t="s">
        <v>91</v>
      </c>
      <c r="Z444">
        <v>0</v>
      </c>
      <c r="AA444">
        <v>0</v>
      </c>
      <c r="AB444" t="s">
        <v>91</v>
      </c>
      <c r="AC444" t="s">
        <v>98</v>
      </c>
      <c r="AD444" t="s">
        <v>98</v>
      </c>
      <c r="AE444">
        <v>0</v>
      </c>
      <c r="AF444">
        <v>1</v>
      </c>
    </row>
    <row r="445" spans="1:32" x14ac:dyDescent="0.2">
      <c r="A445" t="s">
        <v>92</v>
      </c>
      <c r="B445" t="s">
        <v>442</v>
      </c>
      <c r="C445" t="s">
        <v>443</v>
      </c>
      <c r="D445" t="s">
        <v>371</v>
      </c>
      <c r="E445" t="s">
        <v>372</v>
      </c>
      <c r="F445" t="s">
        <v>503</v>
      </c>
      <c r="G445">
        <v>46</v>
      </c>
      <c r="H445" t="s">
        <v>48</v>
      </c>
      <c r="I445" t="s">
        <v>70</v>
      </c>
      <c r="J445" t="s">
        <v>144</v>
      </c>
      <c r="K445">
        <v>0</v>
      </c>
      <c r="L445">
        <v>1</v>
      </c>
      <c r="M445">
        <v>1</v>
      </c>
      <c r="O445">
        <v>0</v>
      </c>
      <c r="P445">
        <v>0</v>
      </c>
      <c r="Q445">
        <v>0</v>
      </c>
      <c r="R445" t="s">
        <v>60</v>
      </c>
      <c r="S445">
        <v>0</v>
      </c>
      <c r="T445">
        <v>1</v>
      </c>
      <c r="U445">
        <v>1</v>
      </c>
      <c r="V445" t="s">
        <v>52</v>
      </c>
      <c r="W445">
        <v>1</v>
      </c>
      <c r="X445">
        <v>1</v>
      </c>
      <c r="Y445" t="s">
        <v>52</v>
      </c>
      <c r="Z445">
        <v>1</v>
      </c>
      <c r="AA445">
        <v>1</v>
      </c>
      <c r="AB445" t="s">
        <v>359</v>
      </c>
      <c r="AC445" t="s">
        <v>98</v>
      </c>
      <c r="AD445" t="s">
        <v>98</v>
      </c>
      <c r="AE445">
        <v>1</v>
      </c>
      <c r="AF445">
        <v>1</v>
      </c>
    </row>
    <row r="446" spans="1:32" x14ac:dyDescent="0.2">
      <c r="A446" t="s">
        <v>92</v>
      </c>
      <c r="B446" t="s">
        <v>442</v>
      </c>
      <c r="C446" t="s">
        <v>443</v>
      </c>
      <c r="D446" t="s">
        <v>112</v>
      </c>
      <c r="E446" t="s">
        <v>457</v>
      </c>
      <c r="F446" t="s">
        <v>504</v>
      </c>
      <c r="G446">
        <v>52</v>
      </c>
      <c r="H446" t="s">
        <v>56</v>
      </c>
      <c r="I446" t="s">
        <v>70</v>
      </c>
      <c r="J446" t="s">
        <v>50</v>
      </c>
      <c r="K446">
        <v>0</v>
      </c>
      <c r="L446">
        <v>0</v>
      </c>
      <c r="M446">
        <v>1</v>
      </c>
      <c r="N446" t="s">
        <v>50</v>
      </c>
      <c r="O446">
        <v>0</v>
      </c>
      <c r="P446">
        <v>0</v>
      </c>
      <c r="Q446">
        <v>1</v>
      </c>
      <c r="R446" t="s">
        <v>62</v>
      </c>
      <c r="S446">
        <v>1</v>
      </c>
      <c r="T446">
        <v>0</v>
      </c>
      <c r="U446">
        <v>1</v>
      </c>
      <c r="V446" t="s">
        <v>52</v>
      </c>
      <c r="W446">
        <v>1</v>
      </c>
      <c r="X446">
        <v>1</v>
      </c>
      <c r="Y446" t="s">
        <v>52</v>
      </c>
      <c r="Z446">
        <v>1</v>
      </c>
      <c r="AA446">
        <v>1</v>
      </c>
      <c r="AB446" t="s">
        <v>359</v>
      </c>
      <c r="AC446" t="s">
        <v>98</v>
      </c>
      <c r="AD446" t="s">
        <v>98</v>
      </c>
      <c r="AE446">
        <v>1</v>
      </c>
      <c r="AF446">
        <v>1</v>
      </c>
    </row>
    <row r="447" spans="1:32" x14ac:dyDescent="0.2">
      <c r="A447" t="s">
        <v>92</v>
      </c>
      <c r="B447" t="s">
        <v>442</v>
      </c>
      <c r="C447" t="s">
        <v>443</v>
      </c>
      <c r="D447" t="s">
        <v>371</v>
      </c>
      <c r="E447" t="s">
        <v>372</v>
      </c>
      <c r="F447" t="s">
        <v>505</v>
      </c>
      <c r="G447">
        <v>50</v>
      </c>
      <c r="H447" t="s">
        <v>48</v>
      </c>
      <c r="I447" t="s">
        <v>70</v>
      </c>
      <c r="J447" t="s">
        <v>144</v>
      </c>
      <c r="K447">
        <v>0</v>
      </c>
      <c r="L447">
        <v>1</v>
      </c>
      <c r="M447">
        <v>1</v>
      </c>
      <c r="O447">
        <v>0</v>
      </c>
      <c r="P447">
        <v>0</v>
      </c>
      <c r="Q447">
        <v>0</v>
      </c>
      <c r="R447" t="s">
        <v>62</v>
      </c>
      <c r="S447">
        <v>1</v>
      </c>
      <c r="T447">
        <v>0</v>
      </c>
      <c r="U447">
        <v>1</v>
      </c>
      <c r="V447" t="s">
        <v>53</v>
      </c>
      <c r="W447">
        <v>0</v>
      </c>
      <c r="X447">
        <v>1</v>
      </c>
      <c r="Y447" t="s">
        <v>53</v>
      </c>
      <c r="Z447">
        <v>0</v>
      </c>
      <c r="AA447">
        <v>1</v>
      </c>
      <c r="AB447" t="s">
        <v>359</v>
      </c>
      <c r="AC447" t="s">
        <v>98</v>
      </c>
      <c r="AD447" t="s">
        <v>98</v>
      </c>
      <c r="AE447">
        <v>1</v>
      </c>
      <c r="AF447">
        <v>1</v>
      </c>
    </row>
    <row r="448" spans="1:32" x14ac:dyDescent="0.2">
      <c r="A448" t="s">
        <v>92</v>
      </c>
      <c r="B448" t="s">
        <v>442</v>
      </c>
      <c r="C448" t="s">
        <v>443</v>
      </c>
      <c r="D448" t="s">
        <v>371</v>
      </c>
      <c r="E448" t="s">
        <v>372</v>
      </c>
      <c r="F448" t="s">
        <v>506</v>
      </c>
      <c r="G448">
        <v>41</v>
      </c>
      <c r="H448" t="s">
        <v>48</v>
      </c>
      <c r="I448" t="s">
        <v>64</v>
      </c>
      <c r="J448" t="s">
        <v>144</v>
      </c>
      <c r="K448">
        <v>0</v>
      </c>
      <c r="L448">
        <v>1</v>
      </c>
      <c r="M448">
        <v>1</v>
      </c>
      <c r="O448">
        <v>0</v>
      </c>
      <c r="P448">
        <v>0</v>
      </c>
      <c r="Q448">
        <v>0</v>
      </c>
      <c r="R448" t="s">
        <v>62</v>
      </c>
      <c r="S448">
        <v>1</v>
      </c>
      <c r="T448">
        <v>0</v>
      </c>
      <c r="U448">
        <v>1</v>
      </c>
      <c r="V448" t="s">
        <v>53</v>
      </c>
      <c r="W448">
        <v>0</v>
      </c>
      <c r="X448">
        <v>1</v>
      </c>
      <c r="Y448" t="s">
        <v>52</v>
      </c>
      <c r="Z448">
        <v>1</v>
      </c>
      <c r="AA448">
        <v>1</v>
      </c>
      <c r="AB448" t="s">
        <v>359</v>
      </c>
      <c r="AC448" t="s">
        <v>98</v>
      </c>
      <c r="AD448" t="s">
        <v>98</v>
      </c>
      <c r="AE448">
        <v>1</v>
      </c>
      <c r="AF448">
        <v>1</v>
      </c>
    </row>
    <row r="449" spans="1:32" x14ac:dyDescent="0.2">
      <c r="A449" t="s">
        <v>92</v>
      </c>
      <c r="B449" t="s">
        <v>442</v>
      </c>
      <c r="C449" t="s">
        <v>443</v>
      </c>
      <c r="D449" t="s">
        <v>112</v>
      </c>
      <c r="I449" t="s">
        <v>85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0</v>
      </c>
      <c r="S449">
        <v>0</v>
      </c>
      <c r="T449">
        <v>0</v>
      </c>
      <c r="U449">
        <v>0</v>
      </c>
      <c r="W449">
        <v>0</v>
      </c>
      <c r="X449">
        <v>0</v>
      </c>
      <c r="Y449" t="s">
        <v>91</v>
      </c>
      <c r="Z449">
        <v>0</v>
      </c>
      <c r="AA449">
        <v>0</v>
      </c>
      <c r="AB449" t="s">
        <v>91</v>
      </c>
      <c r="AE449">
        <v>0</v>
      </c>
      <c r="AF449">
        <v>0</v>
      </c>
    </row>
    <row r="450" spans="1:32" x14ac:dyDescent="0.2">
      <c r="A450" t="s">
        <v>92</v>
      </c>
      <c r="B450" t="s">
        <v>442</v>
      </c>
      <c r="C450" t="s">
        <v>443</v>
      </c>
      <c r="D450" t="s">
        <v>112</v>
      </c>
      <c r="I450" t="s">
        <v>85</v>
      </c>
      <c r="K450">
        <v>0</v>
      </c>
      <c r="L450">
        <v>0</v>
      </c>
      <c r="M450">
        <v>0</v>
      </c>
      <c r="O450">
        <v>0</v>
      </c>
      <c r="P450">
        <v>0</v>
      </c>
      <c r="Q450">
        <v>0</v>
      </c>
      <c r="S450">
        <v>0</v>
      </c>
      <c r="T450">
        <v>0</v>
      </c>
      <c r="U450">
        <v>0</v>
      </c>
      <c r="W450">
        <v>0</v>
      </c>
      <c r="X450">
        <v>0</v>
      </c>
      <c r="Y450" t="s">
        <v>91</v>
      </c>
      <c r="Z450">
        <v>0</v>
      </c>
      <c r="AA450">
        <v>0</v>
      </c>
      <c r="AB450" t="s">
        <v>91</v>
      </c>
      <c r="AE450">
        <v>0</v>
      </c>
      <c r="AF450">
        <v>0</v>
      </c>
    </row>
    <row r="451" spans="1:32" x14ac:dyDescent="0.2">
      <c r="A451" t="s">
        <v>92</v>
      </c>
      <c r="B451" t="s">
        <v>442</v>
      </c>
      <c r="C451" t="s">
        <v>443</v>
      </c>
      <c r="D451" t="s">
        <v>112</v>
      </c>
      <c r="I451" t="s">
        <v>85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0</v>
      </c>
      <c r="W451">
        <v>0</v>
      </c>
      <c r="X451">
        <v>0</v>
      </c>
      <c r="Y451" t="s">
        <v>91</v>
      </c>
      <c r="Z451">
        <v>0</v>
      </c>
      <c r="AA451">
        <v>0</v>
      </c>
      <c r="AB451" t="s">
        <v>91</v>
      </c>
      <c r="AE451">
        <v>0</v>
      </c>
      <c r="AF451">
        <v>0</v>
      </c>
    </row>
    <row r="452" spans="1:32" x14ac:dyDescent="0.2">
      <c r="A452" t="s">
        <v>92</v>
      </c>
      <c r="B452" t="s">
        <v>442</v>
      </c>
      <c r="C452" t="s">
        <v>443</v>
      </c>
      <c r="D452" t="s">
        <v>112</v>
      </c>
      <c r="I452" t="s">
        <v>85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0</v>
      </c>
      <c r="W452">
        <v>0</v>
      </c>
      <c r="X452">
        <v>0</v>
      </c>
      <c r="Y452" t="s">
        <v>91</v>
      </c>
      <c r="Z452">
        <v>0</v>
      </c>
      <c r="AA452">
        <v>0</v>
      </c>
      <c r="AB452" t="s">
        <v>91</v>
      </c>
      <c r="AE452">
        <v>0</v>
      </c>
      <c r="AF452">
        <v>0</v>
      </c>
    </row>
    <row r="453" spans="1:32" x14ac:dyDescent="0.2">
      <c r="A453" t="s">
        <v>92</v>
      </c>
      <c r="B453" t="s">
        <v>507</v>
      </c>
      <c r="D453" t="s">
        <v>371</v>
      </c>
      <c r="E453" t="s">
        <v>372</v>
      </c>
      <c r="F453" t="s">
        <v>508</v>
      </c>
      <c r="G453">
        <v>34</v>
      </c>
      <c r="H453" t="s">
        <v>48</v>
      </c>
      <c r="I453" t="s">
        <v>49</v>
      </c>
      <c r="J453" t="s">
        <v>50</v>
      </c>
      <c r="K453">
        <v>0</v>
      </c>
      <c r="L453">
        <v>0</v>
      </c>
      <c r="M453">
        <v>1</v>
      </c>
      <c r="O453">
        <v>0</v>
      </c>
      <c r="P453">
        <v>0</v>
      </c>
      <c r="Q453">
        <v>0</v>
      </c>
      <c r="R453" t="s">
        <v>51</v>
      </c>
      <c r="S453">
        <v>0</v>
      </c>
      <c r="T453">
        <v>0</v>
      </c>
      <c r="U453">
        <v>1</v>
      </c>
      <c r="V453" t="s">
        <v>53</v>
      </c>
      <c r="W453">
        <v>0</v>
      </c>
      <c r="X453">
        <v>1</v>
      </c>
      <c r="Y453" t="s">
        <v>52</v>
      </c>
      <c r="Z453">
        <v>1</v>
      </c>
      <c r="AA453">
        <v>1</v>
      </c>
      <c r="AB453" t="s">
        <v>359</v>
      </c>
      <c r="AC453" t="s">
        <v>98</v>
      </c>
      <c r="AD453" t="s">
        <v>98</v>
      </c>
      <c r="AE453">
        <v>1</v>
      </c>
      <c r="AF453">
        <v>1</v>
      </c>
    </row>
    <row r="454" spans="1:32" x14ac:dyDescent="0.2">
      <c r="A454" t="s">
        <v>92</v>
      </c>
      <c r="B454" t="s">
        <v>507</v>
      </c>
      <c r="D454" t="s">
        <v>371</v>
      </c>
      <c r="E454" t="s">
        <v>372</v>
      </c>
      <c r="F454" t="s">
        <v>509</v>
      </c>
      <c r="G454">
        <v>29</v>
      </c>
      <c r="H454" t="s">
        <v>48</v>
      </c>
      <c r="I454" t="s">
        <v>49</v>
      </c>
      <c r="J454" t="s">
        <v>144</v>
      </c>
      <c r="K454">
        <v>0</v>
      </c>
      <c r="L454">
        <v>1</v>
      </c>
      <c r="M454">
        <v>1</v>
      </c>
      <c r="O454">
        <v>0</v>
      </c>
      <c r="P454">
        <v>0</v>
      </c>
      <c r="Q454">
        <v>0</v>
      </c>
      <c r="R454" t="s">
        <v>60</v>
      </c>
      <c r="S454">
        <v>0</v>
      </c>
      <c r="T454">
        <v>1</v>
      </c>
      <c r="U454">
        <v>1</v>
      </c>
      <c r="V454" t="s">
        <v>53</v>
      </c>
      <c r="W454">
        <v>0</v>
      </c>
      <c r="X454">
        <v>1</v>
      </c>
      <c r="Y454" t="s">
        <v>53</v>
      </c>
      <c r="Z454">
        <v>0</v>
      </c>
      <c r="AA454">
        <v>1</v>
      </c>
      <c r="AB454" t="s">
        <v>359</v>
      </c>
      <c r="AC454" t="s">
        <v>98</v>
      </c>
      <c r="AD454" t="s">
        <v>98</v>
      </c>
      <c r="AE454">
        <v>1</v>
      </c>
      <c r="AF454">
        <v>1</v>
      </c>
    </row>
    <row r="455" spans="1:32" x14ac:dyDescent="0.2">
      <c r="A455" t="s">
        <v>92</v>
      </c>
      <c r="B455" t="s">
        <v>507</v>
      </c>
      <c r="D455" t="s">
        <v>371</v>
      </c>
      <c r="E455" t="s">
        <v>372</v>
      </c>
      <c r="F455" t="s">
        <v>510</v>
      </c>
      <c r="G455">
        <v>48</v>
      </c>
      <c r="H455" t="s">
        <v>48</v>
      </c>
      <c r="I455" t="s">
        <v>70</v>
      </c>
      <c r="J455" t="s">
        <v>50</v>
      </c>
      <c r="K455">
        <v>0</v>
      </c>
      <c r="L455">
        <v>0</v>
      </c>
      <c r="M455">
        <v>1</v>
      </c>
      <c r="O455">
        <v>0</v>
      </c>
      <c r="P455">
        <v>0</v>
      </c>
      <c r="Q455">
        <v>0</v>
      </c>
      <c r="R455" t="s">
        <v>62</v>
      </c>
      <c r="S455">
        <v>1</v>
      </c>
      <c r="T455">
        <v>0</v>
      </c>
      <c r="U455">
        <v>1</v>
      </c>
      <c r="V455" t="s">
        <v>52</v>
      </c>
      <c r="W455">
        <v>1</v>
      </c>
      <c r="X455">
        <v>1</v>
      </c>
      <c r="Y455" t="s">
        <v>52</v>
      </c>
      <c r="Z455">
        <v>1</v>
      </c>
      <c r="AA455">
        <v>1</v>
      </c>
      <c r="AB455" t="s">
        <v>359</v>
      </c>
      <c r="AC455" t="s">
        <v>98</v>
      </c>
      <c r="AD455" t="s">
        <v>98</v>
      </c>
      <c r="AE455">
        <v>1</v>
      </c>
      <c r="AF455">
        <v>1</v>
      </c>
    </row>
    <row r="456" spans="1:32" x14ac:dyDescent="0.2">
      <c r="A456" t="s">
        <v>92</v>
      </c>
      <c r="B456" t="s">
        <v>507</v>
      </c>
      <c r="D456" t="s">
        <v>371</v>
      </c>
      <c r="E456" t="s">
        <v>372</v>
      </c>
      <c r="F456" t="s">
        <v>511</v>
      </c>
      <c r="G456">
        <v>39</v>
      </c>
      <c r="H456" t="s">
        <v>48</v>
      </c>
      <c r="I456" t="s">
        <v>64</v>
      </c>
      <c r="J456" t="s">
        <v>50</v>
      </c>
      <c r="K456">
        <v>0</v>
      </c>
      <c r="L456">
        <v>0</v>
      </c>
      <c r="M456">
        <v>1</v>
      </c>
      <c r="O456">
        <v>0</v>
      </c>
      <c r="P456">
        <v>0</v>
      </c>
      <c r="Q456">
        <v>0</v>
      </c>
      <c r="R456" t="s">
        <v>62</v>
      </c>
      <c r="S456">
        <v>1</v>
      </c>
      <c r="T456">
        <v>0</v>
      </c>
      <c r="U456">
        <v>1</v>
      </c>
      <c r="V456" t="s">
        <v>53</v>
      </c>
      <c r="W456">
        <v>0</v>
      </c>
      <c r="X456">
        <v>1</v>
      </c>
      <c r="Y456" t="s">
        <v>52</v>
      </c>
      <c r="Z456">
        <v>1</v>
      </c>
      <c r="AA456">
        <v>1</v>
      </c>
      <c r="AB456" t="s">
        <v>359</v>
      </c>
      <c r="AC456" t="s">
        <v>98</v>
      </c>
      <c r="AD456" t="s">
        <v>98</v>
      </c>
      <c r="AE456">
        <v>1</v>
      </c>
      <c r="AF456">
        <v>1</v>
      </c>
    </row>
    <row r="457" spans="1:32" x14ac:dyDescent="0.2">
      <c r="A457" t="s">
        <v>92</v>
      </c>
      <c r="B457" t="s">
        <v>507</v>
      </c>
      <c r="D457" t="s">
        <v>371</v>
      </c>
      <c r="E457" t="s">
        <v>372</v>
      </c>
      <c r="F457" t="s">
        <v>512</v>
      </c>
      <c r="G457">
        <v>26</v>
      </c>
      <c r="H457" t="s">
        <v>48</v>
      </c>
      <c r="I457" t="s">
        <v>49</v>
      </c>
      <c r="J457" t="s">
        <v>50</v>
      </c>
      <c r="K457">
        <v>0</v>
      </c>
      <c r="L457">
        <v>0</v>
      </c>
      <c r="M457">
        <v>1</v>
      </c>
      <c r="O457">
        <v>0</v>
      </c>
      <c r="P457">
        <v>0</v>
      </c>
      <c r="Q457">
        <v>0</v>
      </c>
      <c r="R457" t="s">
        <v>51</v>
      </c>
      <c r="S457">
        <v>0</v>
      </c>
      <c r="T457">
        <v>0</v>
      </c>
      <c r="U457">
        <v>1</v>
      </c>
      <c r="V457" t="s">
        <v>53</v>
      </c>
      <c r="W457">
        <v>0</v>
      </c>
      <c r="X457">
        <v>1</v>
      </c>
      <c r="Y457" t="s">
        <v>53</v>
      </c>
      <c r="Z457">
        <v>0</v>
      </c>
      <c r="AA457">
        <v>1</v>
      </c>
      <c r="AB457" t="s">
        <v>359</v>
      </c>
      <c r="AC457" t="s">
        <v>98</v>
      </c>
      <c r="AD457" t="s">
        <v>98</v>
      </c>
      <c r="AE457">
        <v>1</v>
      </c>
      <c r="AF457">
        <v>1</v>
      </c>
    </row>
    <row r="458" spans="1:32" x14ac:dyDescent="0.2">
      <c r="A458" t="s">
        <v>92</v>
      </c>
      <c r="B458" t="s">
        <v>507</v>
      </c>
      <c r="D458" t="s">
        <v>371</v>
      </c>
      <c r="E458" t="s">
        <v>372</v>
      </c>
      <c r="F458" t="s">
        <v>513</v>
      </c>
      <c r="G458">
        <v>30</v>
      </c>
      <c r="H458" t="s">
        <v>48</v>
      </c>
      <c r="I458" t="s">
        <v>49</v>
      </c>
      <c r="J458" t="s">
        <v>50</v>
      </c>
      <c r="K458">
        <v>0</v>
      </c>
      <c r="L458">
        <v>0</v>
      </c>
      <c r="M458">
        <v>1</v>
      </c>
      <c r="O458">
        <v>0</v>
      </c>
      <c r="P458">
        <v>0</v>
      </c>
      <c r="Q458">
        <v>0</v>
      </c>
      <c r="R458" t="s">
        <v>62</v>
      </c>
      <c r="S458">
        <v>1</v>
      </c>
      <c r="T458">
        <v>0</v>
      </c>
      <c r="U458">
        <v>1</v>
      </c>
      <c r="V458" t="s">
        <v>53</v>
      </c>
      <c r="W458">
        <v>0</v>
      </c>
      <c r="X458">
        <v>1</v>
      </c>
      <c r="Y458" t="s">
        <v>52</v>
      </c>
      <c r="Z458">
        <v>1</v>
      </c>
      <c r="AA458">
        <v>1</v>
      </c>
      <c r="AB458" t="s">
        <v>359</v>
      </c>
      <c r="AC458" t="s">
        <v>98</v>
      </c>
      <c r="AD458" t="s">
        <v>98</v>
      </c>
      <c r="AE458">
        <v>1</v>
      </c>
      <c r="AF458">
        <v>1</v>
      </c>
    </row>
    <row r="459" spans="1:32" x14ac:dyDescent="0.2">
      <c r="A459" t="s">
        <v>92</v>
      </c>
      <c r="B459" t="s">
        <v>507</v>
      </c>
      <c r="D459" t="s">
        <v>371</v>
      </c>
      <c r="E459" t="s">
        <v>372</v>
      </c>
      <c r="F459" t="s">
        <v>514</v>
      </c>
      <c r="G459">
        <v>29</v>
      </c>
      <c r="H459" t="s">
        <v>56</v>
      </c>
      <c r="I459" t="s">
        <v>49</v>
      </c>
      <c r="J459" t="s">
        <v>50</v>
      </c>
      <c r="K459">
        <v>0</v>
      </c>
      <c r="L459">
        <v>0</v>
      </c>
      <c r="M459">
        <v>1</v>
      </c>
      <c r="O459">
        <v>0</v>
      </c>
      <c r="P459">
        <v>0</v>
      </c>
      <c r="Q459">
        <v>0</v>
      </c>
      <c r="R459" t="s">
        <v>62</v>
      </c>
      <c r="S459">
        <v>1</v>
      </c>
      <c r="T459">
        <v>0</v>
      </c>
      <c r="U459">
        <v>1</v>
      </c>
      <c r="V459" t="s">
        <v>53</v>
      </c>
      <c r="W459">
        <v>0</v>
      </c>
      <c r="X459">
        <v>1</v>
      </c>
      <c r="Y459" t="s">
        <v>53</v>
      </c>
      <c r="Z459">
        <v>0</v>
      </c>
      <c r="AA459">
        <v>1</v>
      </c>
      <c r="AB459" t="s">
        <v>359</v>
      </c>
      <c r="AC459" t="s">
        <v>98</v>
      </c>
      <c r="AD459" t="s">
        <v>98</v>
      </c>
      <c r="AE459">
        <v>1</v>
      </c>
      <c r="AF459">
        <v>1</v>
      </c>
    </row>
    <row r="460" spans="1:32" x14ac:dyDescent="0.2">
      <c r="A460" t="s">
        <v>92</v>
      </c>
      <c r="B460" t="s">
        <v>507</v>
      </c>
      <c r="D460" t="s">
        <v>371</v>
      </c>
      <c r="E460" t="s">
        <v>372</v>
      </c>
      <c r="F460" t="s">
        <v>515</v>
      </c>
      <c r="G460">
        <v>36</v>
      </c>
      <c r="H460" t="s">
        <v>48</v>
      </c>
      <c r="I460" t="s">
        <v>64</v>
      </c>
      <c r="J460" t="s">
        <v>50</v>
      </c>
      <c r="K460">
        <v>0</v>
      </c>
      <c r="L460">
        <v>0</v>
      </c>
      <c r="M460">
        <v>1</v>
      </c>
      <c r="O460">
        <v>0</v>
      </c>
      <c r="P460">
        <v>0</v>
      </c>
      <c r="Q460">
        <v>0</v>
      </c>
      <c r="R460" t="s">
        <v>60</v>
      </c>
      <c r="S460">
        <v>0</v>
      </c>
      <c r="T460">
        <v>1</v>
      </c>
      <c r="U460">
        <v>1</v>
      </c>
      <c r="V460" t="s">
        <v>52</v>
      </c>
      <c r="W460">
        <v>1</v>
      </c>
      <c r="X460">
        <v>1</v>
      </c>
      <c r="Y460" t="s">
        <v>52</v>
      </c>
      <c r="Z460">
        <v>1</v>
      </c>
      <c r="AA460">
        <v>1</v>
      </c>
      <c r="AB460" t="s">
        <v>359</v>
      </c>
      <c r="AC460" t="s">
        <v>98</v>
      </c>
      <c r="AD460" t="s">
        <v>98</v>
      </c>
      <c r="AE460">
        <v>1</v>
      </c>
      <c r="AF460">
        <v>1</v>
      </c>
    </row>
    <row r="461" spans="1:32" x14ac:dyDescent="0.2">
      <c r="A461" t="s">
        <v>92</v>
      </c>
      <c r="B461" t="s">
        <v>507</v>
      </c>
      <c r="D461" t="s">
        <v>371</v>
      </c>
      <c r="E461" t="s">
        <v>372</v>
      </c>
      <c r="F461" t="s">
        <v>516</v>
      </c>
      <c r="G461">
        <v>35</v>
      </c>
      <c r="H461" t="s">
        <v>48</v>
      </c>
      <c r="I461" t="s">
        <v>49</v>
      </c>
      <c r="J461" t="s">
        <v>50</v>
      </c>
      <c r="K461">
        <v>0</v>
      </c>
      <c r="L461">
        <v>0</v>
      </c>
      <c r="M461">
        <v>1</v>
      </c>
      <c r="O461">
        <v>0</v>
      </c>
      <c r="P461">
        <v>0</v>
      </c>
      <c r="Q461">
        <v>0</v>
      </c>
      <c r="R461" t="s">
        <v>62</v>
      </c>
      <c r="S461">
        <v>1</v>
      </c>
      <c r="T461">
        <v>0</v>
      </c>
      <c r="U461">
        <v>1</v>
      </c>
      <c r="V461" t="s">
        <v>53</v>
      </c>
      <c r="W461">
        <v>0</v>
      </c>
      <c r="X461">
        <v>1</v>
      </c>
      <c r="Y461" t="s">
        <v>53</v>
      </c>
      <c r="Z461">
        <v>0</v>
      </c>
      <c r="AA461">
        <v>1</v>
      </c>
      <c r="AB461" t="s">
        <v>359</v>
      </c>
      <c r="AC461" t="s">
        <v>98</v>
      </c>
      <c r="AD461" t="s">
        <v>98</v>
      </c>
      <c r="AE461">
        <v>1</v>
      </c>
      <c r="AF461">
        <v>1</v>
      </c>
    </row>
    <row r="462" spans="1:32" x14ac:dyDescent="0.2">
      <c r="A462" t="s">
        <v>92</v>
      </c>
      <c r="B462" t="s">
        <v>507</v>
      </c>
      <c r="D462" t="s">
        <v>371</v>
      </c>
      <c r="E462" t="s">
        <v>372</v>
      </c>
      <c r="F462" t="s">
        <v>517</v>
      </c>
      <c r="G462">
        <v>40</v>
      </c>
      <c r="H462" t="s">
        <v>48</v>
      </c>
      <c r="I462" t="s">
        <v>64</v>
      </c>
      <c r="J462" t="s">
        <v>50</v>
      </c>
      <c r="K462">
        <v>0</v>
      </c>
      <c r="L462">
        <v>0</v>
      </c>
      <c r="M462">
        <v>1</v>
      </c>
      <c r="O462">
        <v>0</v>
      </c>
      <c r="P462">
        <v>0</v>
      </c>
      <c r="Q462">
        <v>0</v>
      </c>
      <c r="R462" t="s">
        <v>60</v>
      </c>
      <c r="S462">
        <v>0</v>
      </c>
      <c r="T462">
        <v>1</v>
      </c>
      <c r="U462">
        <v>1</v>
      </c>
      <c r="V462" t="s">
        <v>53</v>
      </c>
      <c r="W462">
        <v>0</v>
      </c>
      <c r="X462">
        <v>1</v>
      </c>
      <c r="Y462" t="s">
        <v>52</v>
      </c>
      <c r="Z462">
        <v>1</v>
      </c>
      <c r="AA462">
        <v>1</v>
      </c>
      <c r="AB462" t="s">
        <v>359</v>
      </c>
      <c r="AC462" t="s">
        <v>98</v>
      </c>
      <c r="AD462" t="s">
        <v>98</v>
      </c>
      <c r="AE462">
        <v>1</v>
      </c>
      <c r="AF46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4" customWidth="1"/>
  </cols>
  <sheetData>
    <row r="1" spans="1:12" ht="19" x14ac:dyDescent="0.25">
      <c r="A1" s="4" t="s">
        <v>518</v>
      </c>
    </row>
    <row r="3" spans="1:12" ht="32" x14ac:dyDescent="0.2">
      <c r="A3" s="3" t="s">
        <v>13</v>
      </c>
      <c r="B3" s="3" t="s">
        <v>14</v>
      </c>
      <c r="C3" s="3" t="s">
        <v>519</v>
      </c>
      <c r="D3" s="3" t="s">
        <v>520</v>
      </c>
      <c r="E3" s="3" t="s">
        <v>521</v>
      </c>
      <c r="F3" s="3" t="s">
        <v>522</v>
      </c>
      <c r="G3" s="3" t="s">
        <v>523</v>
      </c>
      <c r="H3" s="3" t="s">
        <v>524</v>
      </c>
      <c r="I3" s="3" t="s">
        <v>525</v>
      </c>
      <c r="J3" s="3" t="s">
        <v>526</v>
      </c>
      <c r="K3" s="3" t="s">
        <v>527</v>
      </c>
      <c r="L3" s="3" t="s">
        <v>528</v>
      </c>
    </row>
    <row r="4" spans="1:12" ht="16" x14ac:dyDescent="0.2">
      <c r="A4" s="5" t="s">
        <v>92</v>
      </c>
      <c r="B4" s="5" t="s">
        <v>507</v>
      </c>
      <c r="C4" s="5">
        <v>10</v>
      </c>
      <c r="D4" s="5">
        <v>10</v>
      </c>
      <c r="E4" s="5">
        <v>10</v>
      </c>
      <c r="F4" s="5">
        <v>10</v>
      </c>
      <c r="G4" s="5">
        <v>10</v>
      </c>
      <c r="H4" s="5">
        <v>10</v>
      </c>
      <c r="I4" s="5">
        <v>0</v>
      </c>
      <c r="J4" s="5">
        <v>10</v>
      </c>
      <c r="K4" s="5">
        <v>10</v>
      </c>
      <c r="L4" s="5">
        <v>10</v>
      </c>
    </row>
    <row r="5" spans="1:12" ht="16" x14ac:dyDescent="0.2">
      <c r="A5" s="5" t="s">
        <v>92</v>
      </c>
      <c r="B5" s="5" t="s">
        <v>93</v>
      </c>
      <c r="C5" s="5">
        <v>70</v>
      </c>
      <c r="D5" s="5">
        <v>65</v>
      </c>
      <c r="E5" s="5">
        <v>61</v>
      </c>
      <c r="F5" s="5">
        <v>61</v>
      </c>
      <c r="G5" s="5">
        <v>62</v>
      </c>
      <c r="H5" s="5">
        <v>61</v>
      </c>
      <c r="I5" s="5">
        <v>61</v>
      </c>
      <c r="J5" s="5">
        <v>58</v>
      </c>
      <c r="K5" s="5">
        <v>61</v>
      </c>
      <c r="L5" s="5">
        <v>62</v>
      </c>
    </row>
    <row r="6" spans="1:12" ht="16" x14ac:dyDescent="0.2">
      <c r="A6" s="5" t="s">
        <v>92</v>
      </c>
      <c r="B6" s="5" t="s">
        <v>442</v>
      </c>
      <c r="C6" s="5">
        <v>66</v>
      </c>
      <c r="D6" s="5">
        <v>62</v>
      </c>
      <c r="E6" s="5">
        <v>62</v>
      </c>
      <c r="F6" s="5">
        <v>56</v>
      </c>
      <c r="G6" s="5">
        <v>61</v>
      </c>
      <c r="H6" s="5">
        <v>61</v>
      </c>
      <c r="I6" s="5">
        <v>21</v>
      </c>
      <c r="J6" s="5">
        <v>60</v>
      </c>
      <c r="K6" s="5">
        <v>56</v>
      </c>
      <c r="L6" s="5">
        <v>61</v>
      </c>
    </row>
    <row r="7" spans="1:12" ht="16" x14ac:dyDescent="0.2">
      <c r="A7" s="5" t="s">
        <v>92</v>
      </c>
      <c r="B7" s="5" t="s">
        <v>167</v>
      </c>
      <c r="C7" s="5">
        <v>127</v>
      </c>
      <c r="D7" s="5">
        <v>119</v>
      </c>
      <c r="E7" s="5">
        <v>119</v>
      </c>
      <c r="F7" s="5">
        <v>118</v>
      </c>
      <c r="G7" s="5">
        <v>119</v>
      </c>
      <c r="H7" s="5">
        <v>119</v>
      </c>
      <c r="I7" s="5">
        <v>77</v>
      </c>
      <c r="J7" s="5">
        <v>117</v>
      </c>
      <c r="K7" s="5">
        <v>119</v>
      </c>
      <c r="L7" s="5">
        <v>119</v>
      </c>
    </row>
    <row r="8" spans="1:12" ht="16" x14ac:dyDescent="0.2">
      <c r="A8" s="5" t="s">
        <v>92</v>
      </c>
      <c r="B8" s="5" t="s">
        <v>291</v>
      </c>
      <c r="C8" s="5">
        <v>70</v>
      </c>
      <c r="D8" s="5">
        <v>63</v>
      </c>
      <c r="E8" s="5">
        <v>49</v>
      </c>
      <c r="F8" s="5">
        <v>60</v>
      </c>
      <c r="G8" s="5">
        <v>62</v>
      </c>
      <c r="H8" s="5">
        <v>62</v>
      </c>
      <c r="I8" s="5">
        <v>36</v>
      </c>
      <c r="J8" s="5">
        <v>62</v>
      </c>
      <c r="K8" s="5">
        <v>60</v>
      </c>
      <c r="L8" s="5">
        <v>62</v>
      </c>
    </row>
    <row r="9" spans="1:12" ht="16" x14ac:dyDescent="0.2">
      <c r="A9" s="5" t="s">
        <v>92</v>
      </c>
      <c r="B9" s="5" t="s">
        <v>356</v>
      </c>
      <c r="C9" s="5">
        <v>89</v>
      </c>
      <c r="D9" s="5">
        <v>81</v>
      </c>
      <c r="E9" s="5">
        <v>66</v>
      </c>
      <c r="F9" s="5">
        <v>74</v>
      </c>
      <c r="G9" s="5">
        <v>80</v>
      </c>
      <c r="H9" s="5">
        <v>80</v>
      </c>
      <c r="I9" s="5">
        <v>80</v>
      </c>
      <c r="J9" s="5">
        <v>80</v>
      </c>
      <c r="K9" s="5">
        <v>75</v>
      </c>
      <c r="L9" s="5">
        <v>80</v>
      </c>
    </row>
    <row r="10" spans="1:12" ht="16" x14ac:dyDescent="0.2">
      <c r="A10" s="5" t="s">
        <v>45</v>
      </c>
      <c r="B10" s="5" t="s">
        <v>46</v>
      </c>
      <c r="C10" s="5">
        <v>29</v>
      </c>
      <c r="D10" s="5">
        <v>27</v>
      </c>
      <c r="E10" s="5">
        <v>0</v>
      </c>
      <c r="F10" s="5">
        <v>0</v>
      </c>
      <c r="G10" s="5">
        <v>0</v>
      </c>
      <c r="H10" s="5">
        <v>27</v>
      </c>
      <c r="I10" s="5">
        <v>27</v>
      </c>
      <c r="J10" s="5">
        <v>27</v>
      </c>
      <c r="K10" s="5">
        <v>27</v>
      </c>
      <c r="L10" s="5">
        <v>27</v>
      </c>
    </row>
    <row r="20" spans="1:6" x14ac:dyDescent="0.2">
      <c r="A20" s="2" t="s">
        <v>529</v>
      </c>
    </row>
    <row r="22" spans="1:6" ht="16" x14ac:dyDescent="0.2">
      <c r="A22" s="3" t="s">
        <v>14</v>
      </c>
      <c r="B22" s="3" t="s">
        <v>40</v>
      </c>
      <c r="C22" s="3" t="s">
        <v>530</v>
      </c>
      <c r="D22" s="3" t="s">
        <v>52</v>
      </c>
      <c r="E22" s="3" t="s">
        <v>53</v>
      </c>
      <c r="F22" s="3" t="s">
        <v>91</v>
      </c>
    </row>
    <row r="23" spans="1:6" ht="16" x14ac:dyDescent="0.2">
      <c r="A23" s="5" t="s">
        <v>507</v>
      </c>
      <c r="B23" s="5" t="s">
        <v>359</v>
      </c>
      <c r="C23" s="5">
        <v>10</v>
      </c>
      <c r="D23" s="5">
        <v>6</v>
      </c>
      <c r="E23" s="5">
        <v>4</v>
      </c>
      <c r="F23" s="5">
        <v>0</v>
      </c>
    </row>
    <row r="24" spans="1:6" ht="16" x14ac:dyDescent="0.2">
      <c r="A24" s="5" t="s">
        <v>93</v>
      </c>
      <c r="B24" s="5" t="s">
        <v>54</v>
      </c>
      <c r="C24" s="5">
        <v>61</v>
      </c>
      <c r="D24" s="5">
        <v>27</v>
      </c>
      <c r="E24" s="5">
        <v>34</v>
      </c>
      <c r="F24" s="5">
        <v>0</v>
      </c>
    </row>
    <row r="25" spans="1:6" ht="16" x14ac:dyDescent="0.2">
      <c r="A25" s="5" t="s">
        <v>93</v>
      </c>
      <c r="B25" s="5" t="s">
        <v>153</v>
      </c>
      <c r="C25" s="5">
        <v>1</v>
      </c>
      <c r="D25" s="5">
        <v>0</v>
      </c>
      <c r="E25" s="5">
        <v>1</v>
      </c>
      <c r="F25" s="5">
        <v>0</v>
      </c>
    </row>
    <row r="26" spans="1:6" ht="16" x14ac:dyDescent="0.2">
      <c r="A26" s="5" t="s">
        <v>93</v>
      </c>
      <c r="B26" s="5" t="s">
        <v>91</v>
      </c>
      <c r="C26" s="5">
        <v>8</v>
      </c>
      <c r="D26" s="5">
        <v>0</v>
      </c>
      <c r="E26" s="5">
        <v>0</v>
      </c>
      <c r="F26" s="5">
        <v>8</v>
      </c>
    </row>
    <row r="27" spans="1:6" ht="16" x14ac:dyDescent="0.2">
      <c r="A27" s="5" t="s">
        <v>442</v>
      </c>
      <c r="B27" s="5" t="s">
        <v>359</v>
      </c>
      <c r="C27" s="5">
        <v>61</v>
      </c>
      <c r="D27" s="5">
        <v>27</v>
      </c>
      <c r="E27" s="5">
        <v>34</v>
      </c>
      <c r="F27" s="5">
        <v>0</v>
      </c>
    </row>
    <row r="28" spans="1:6" ht="16" x14ac:dyDescent="0.2">
      <c r="A28" s="5" t="s">
        <v>442</v>
      </c>
      <c r="B28" s="5" t="s">
        <v>91</v>
      </c>
      <c r="C28" s="5">
        <v>5</v>
      </c>
      <c r="D28" s="5">
        <v>0</v>
      </c>
      <c r="E28" s="5">
        <v>0</v>
      </c>
      <c r="F28" s="5">
        <v>5</v>
      </c>
    </row>
    <row r="29" spans="1:6" ht="16" x14ac:dyDescent="0.2">
      <c r="A29" s="5" t="s">
        <v>167</v>
      </c>
      <c r="B29" s="5" t="s">
        <v>54</v>
      </c>
      <c r="C29" s="5">
        <v>119</v>
      </c>
      <c r="D29" s="5">
        <v>56</v>
      </c>
      <c r="E29" s="5">
        <v>63</v>
      </c>
      <c r="F29" s="5">
        <v>0</v>
      </c>
    </row>
    <row r="30" spans="1:6" ht="16" x14ac:dyDescent="0.2">
      <c r="A30" s="5" t="s">
        <v>167</v>
      </c>
      <c r="B30" s="5" t="s">
        <v>91</v>
      </c>
      <c r="C30" s="5">
        <v>8</v>
      </c>
      <c r="D30" s="5">
        <v>0</v>
      </c>
      <c r="E30" s="5">
        <v>0</v>
      </c>
      <c r="F30" s="5">
        <v>8</v>
      </c>
    </row>
    <row r="31" spans="1:6" ht="16" x14ac:dyDescent="0.2">
      <c r="A31" s="5" t="s">
        <v>291</v>
      </c>
      <c r="B31" s="5" t="s">
        <v>54</v>
      </c>
      <c r="C31" s="5">
        <v>62</v>
      </c>
      <c r="D31" s="5">
        <v>44</v>
      </c>
      <c r="E31" s="5">
        <v>18</v>
      </c>
      <c r="F31" s="5">
        <v>0</v>
      </c>
    </row>
    <row r="32" spans="1:6" ht="16" x14ac:dyDescent="0.2">
      <c r="A32" s="5" t="s">
        <v>291</v>
      </c>
      <c r="B32" s="5" t="s">
        <v>91</v>
      </c>
      <c r="C32" s="5">
        <v>8</v>
      </c>
      <c r="D32" s="5">
        <v>0</v>
      </c>
      <c r="E32" s="5">
        <v>0</v>
      </c>
      <c r="F32" s="5">
        <v>8</v>
      </c>
    </row>
    <row r="33" spans="1:6" ht="16" x14ac:dyDescent="0.2">
      <c r="A33" s="5" t="s">
        <v>356</v>
      </c>
      <c r="B33" s="5" t="s">
        <v>359</v>
      </c>
      <c r="C33" s="5">
        <v>80</v>
      </c>
      <c r="D33" s="5">
        <v>42</v>
      </c>
      <c r="E33" s="5">
        <v>38</v>
      </c>
      <c r="F33" s="5">
        <v>0</v>
      </c>
    </row>
    <row r="34" spans="1:6" ht="16" x14ac:dyDescent="0.2">
      <c r="A34" s="5" t="s">
        <v>356</v>
      </c>
      <c r="B34" s="5" t="s">
        <v>91</v>
      </c>
      <c r="C34" s="5">
        <v>9</v>
      </c>
      <c r="D34" s="5">
        <v>0</v>
      </c>
      <c r="E34" s="5">
        <v>0</v>
      </c>
      <c r="F34" s="5">
        <v>9</v>
      </c>
    </row>
    <row r="35" spans="1:6" ht="16" x14ac:dyDescent="0.2">
      <c r="A35" s="5" t="s">
        <v>46</v>
      </c>
      <c r="B35" s="5" t="s">
        <v>54</v>
      </c>
      <c r="C35" s="5">
        <v>27</v>
      </c>
      <c r="D35" s="5">
        <v>12</v>
      </c>
      <c r="E35" s="5">
        <v>15</v>
      </c>
      <c r="F35" s="5">
        <v>0</v>
      </c>
    </row>
    <row r="36" spans="1:6" ht="16" x14ac:dyDescent="0.2">
      <c r="A36" s="5" t="s">
        <v>46</v>
      </c>
      <c r="B36" s="5" t="s">
        <v>91</v>
      </c>
      <c r="C36" s="5">
        <v>2</v>
      </c>
      <c r="D36" s="5">
        <v>0</v>
      </c>
      <c r="E36" s="5">
        <v>0</v>
      </c>
      <c r="F36" s="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9"/>
  <sheetViews>
    <sheetView topLeftCell="A5" workbookViewId="0"/>
  </sheetViews>
  <sheetFormatPr baseColWidth="10" defaultColWidth="8.83203125" defaultRowHeight="15" x14ac:dyDescent="0.2"/>
  <cols>
    <col min="1" max="1" width="3" customWidth="1"/>
    <col min="2" max="2" width="110" customWidth="1"/>
  </cols>
  <sheetData>
    <row r="1" spans="2:2" ht="26" customHeight="1" x14ac:dyDescent="0.2">
      <c r="B1" s="19" t="s">
        <v>531</v>
      </c>
    </row>
    <row r="2" spans="2:2" ht="10" customHeight="1" x14ac:dyDescent="0.2">
      <c r="B2" s="20"/>
    </row>
    <row r="4" spans="2:2" ht="17" x14ac:dyDescent="0.2">
      <c r="B4" s="13" t="s">
        <v>532</v>
      </c>
    </row>
    <row r="5" spans="2:2" ht="90" customHeight="1" x14ac:dyDescent="0.2">
      <c r="B5" s="14" t="s">
        <v>533</v>
      </c>
    </row>
    <row r="7" spans="2:2" ht="17" x14ac:dyDescent="0.2">
      <c r="B7" s="13" t="s">
        <v>534</v>
      </c>
    </row>
    <row r="8" spans="2:2" ht="90" customHeight="1" x14ac:dyDescent="0.2">
      <c r="B8" s="14" t="s">
        <v>535</v>
      </c>
    </row>
    <row r="10" spans="2:2" ht="17" x14ac:dyDescent="0.2">
      <c r="B10" s="13" t="s">
        <v>536</v>
      </c>
    </row>
    <row r="11" spans="2:2" ht="90" customHeight="1" x14ac:dyDescent="0.2">
      <c r="B11" s="14" t="s">
        <v>537</v>
      </c>
    </row>
    <row r="13" spans="2:2" ht="17" x14ac:dyDescent="0.2">
      <c r="B13" s="13" t="s">
        <v>538</v>
      </c>
    </row>
    <row r="14" spans="2:2" ht="90" customHeight="1" x14ac:dyDescent="0.2">
      <c r="B14" s="14" t="s">
        <v>539</v>
      </c>
    </row>
    <row r="16" spans="2:2" ht="17" x14ac:dyDescent="0.2">
      <c r="B16" s="13" t="s">
        <v>540</v>
      </c>
    </row>
    <row r="17" spans="2:2" ht="90" customHeight="1" x14ac:dyDescent="0.2">
      <c r="B17" s="14" t="s">
        <v>541</v>
      </c>
    </row>
    <row r="19" spans="2:2" ht="30" customHeight="1" x14ac:dyDescent="0.2">
      <c r="B19" s="15" t="s">
        <v>542</v>
      </c>
    </row>
  </sheetData>
  <mergeCells count="1">
    <mergeCell ref="B1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3" width="18" customWidth="1"/>
  </cols>
  <sheetData>
    <row r="1" spans="1:13" ht="19" x14ac:dyDescent="0.25">
      <c r="A1" s="4" t="s">
        <v>543</v>
      </c>
    </row>
    <row r="3" spans="1:13" ht="16" x14ac:dyDescent="0.2">
      <c r="A3" s="3" t="s">
        <v>15</v>
      </c>
      <c r="B3" s="3" t="s">
        <v>16</v>
      </c>
      <c r="C3" s="3" t="s">
        <v>14</v>
      </c>
      <c r="D3" s="3" t="s">
        <v>519</v>
      </c>
      <c r="E3" s="3" t="s">
        <v>544</v>
      </c>
      <c r="F3" s="3" t="s">
        <v>545</v>
      </c>
      <c r="G3" s="3" t="s">
        <v>523</v>
      </c>
      <c r="H3" s="3" t="s">
        <v>546</v>
      </c>
      <c r="I3" s="3" t="s">
        <v>547</v>
      </c>
      <c r="J3" s="3" t="s">
        <v>15</v>
      </c>
      <c r="K3" s="3" t="s">
        <v>544</v>
      </c>
      <c r="L3" s="3" t="s">
        <v>545</v>
      </c>
      <c r="M3" s="3" t="s">
        <v>523</v>
      </c>
    </row>
    <row r="4" spans="1:13" ht="16" x14ac:dyDescent="0.2">
      <c r="A4" s="5"/>
      <c r="B4" s="5" t="s">
        <v>371</v>
      </c>
      <c r="C4" s="5" t="s">
        <v>507</v>
      </c>
      <c r="D4" s="5">
        <v>10</v>
      </c>
      <c r="E4" s="5">
        <v>10</v>
      </c>
      <c r="F4" s="5">
        <v>10</v>
      </c>
      <c r="G4" s="5">
        <v>10</v>
      </c>
      <c r="H4" s="5">
        <v>0</v>
      </c>
      <c r="I4" s="5">
        <v>0</v>
      </c>
      <c r="J4" s="5"/>
      <c r="K4" s="5">
        <v>10</v>
      </c>
      <c r="L4" s="5">
        <v>10</v>
      </c>
      <c r="M4" s="5">
        <v>10</v>
      </c>
    </row>
    <row r="5" spans="1:13" ht="16" x14ac:dyDescent="0.2">
      <c r="A5" s="5" t="s">
        <v>94</v>
      </c>
      <c r="B5" s="5" t="s">
        <v>95</v>
      </c>
      <c r="C5" s="5" t="s">
        <v>93</v>
      </c>
      <c r="D5" s="5">
        <v>52</v>
      </c>
      <c r="E5" s="5">
        <v>51</v>
      </c>
      <c r="F5" s="5">
        <v>51</v>
      </c>
      <c r="G5" s="5">
        <v>52</v>
      </c>
      <c r="H5" s="5">
        <v>1</v>
      </c>
      <c r="I5" s="5">
        <v>1</v>
      </c>
      <c r="J5" s="5" t="s">
        <v>94</v>
      </c>
      <c r="K5" s="5">
        <v>61</v>
      </c>
      <c r="L5" s="5">
        <v>61</v>
      </c>
      <c r="M5" s="5">
        <v>62</v>
      </c>
    </row>
    <row r="6" spans="1:13" ht="16" x14ac:dyDescent="0.2">
      <c r="A6" s="5" t="s">
        <v>94</v>
      </c>
      <c r="B6" s="5" t="s">
        <v>112</v>
      </c>
      <c r="C6" s="5" t="s">
        <v>93</v>
      </c>
      <c r="D6" s="5">
        <v>18</v>
      </c>
      <c r="E6" s="5">
        <v>10</v>
      </c>
      <c r="F6" s="5">
        <v>10</v>
      </c>
      <c r="G6" s="5">
        <v>10</v>
      </c>
      <c r="H6" s="5">
        <v>0</v>
      </c>
      <c r="I6" s="5">
        <v>0</v>
      </c>
      <c r="J6" s="5" t="s">
        <v>168</v>
      </c>
      <c r="K6" s="5">
        <v>119</v>
      </c>
      <c r="L6" s="5">
        <v>118</v>
      </c>
      <c r="M6" s="5">
        <v>119</v>
      </c>
    </row>
    <row r="7" spans="1:13" ht="16" x14ac:dyDescent="0.2">
      <c r="A7" s="5" t="s">
        <v>168</v>
      </c>
      <c r="B7" s="5" t="s">
        <v>95</v>
      </c>
      <c r="C7" s="5" t="s">
        <v>167</v>
      </c>
      <c r="D7" s="5">
        <v>104</v>
      </c>
      <c r="E7" s="5">
        <v>104</v>
      </c>
      <c r="F7" s="5">
        <v>103</v>
      </c>
      <c r="G7" s="5">
        <v>104</v>
      </c>
      <c r="H7" s="5">
        <v>0</v>
      </c>
      <c r="I7" s="5">
        <v>1</v>
      </c>
      <c r="J7" s="5" t="s">
        <v>292</v>
      </c>
      <c r="K7" s="5">
        <v>49</v>
      </c>
      <c r="L7" s="5">
        <v>60</v>
      </c>
      <c r="M7" s="5">
        <v>62</v>
      </c>
    </row>
    <row r="8" spans="1:13" ht="16" x14ac:dyDescent="0.2">
      <c r="A8" s="5" t="s">
        <v>168</v>
      </c>
      <c r="B8" s="5" t="s">
        <v>112</v>
      </c>
      <c r="C8" s="5" t="s">
        <v>167</v>
      </c>
      <c r="D8" s="5">
        <v>23</v>
      </c>
      <c r="E8" s="5">
        <v>15</v>
      </c>
      <c r="F8" s="5">
        <v>15</v>
      </c>
      <c r="G8" s="5">
        <v>15</v>
      </c>
      <c r="H8" s="5">
        <v>0</v>
      </c>
      <c r="I8" s="5">
        <v>1</v>
      </c>
      <c r="J8" s="5" t="s">
        <v>357</v>
      </c>
      <c r="K8" s="5">
        <v>66</v>
      </c>
      <c r="L8" s="5">
        <v>74</v>
      </c>
      <c r="M8" s="5">
        <v>80</v>
      </c>
    </row>
    <row r="9" spans="1:13" ht="16" x14ac:dyDescent="0.2">
      <c r="A9" s="5" t="s">
        <v>292</v>
      </c>
      <c r="B9" s="5" t="s">
        <v>95</v>
      </c>
      <c r="C9" s="5" t="s">
        <v>291</v>
      </c>
      <c r="D9" s="5">
        <v>49</v>
      </c>
      <c r="E9" s="5">
        <v>36</v>
      </c>
      <c r="F9" s="5">
        <v>48</v>
      </c>
      <c r="G9" s="5">
        <v>49</v>
      </c>
      <c r="H9" s="5">
        <v>13</v>
      </c>
      <c r="I9" s="5">
        <v>1</v>
      </c>
      <c r="J9" s="5" t="s">
        <v>443</v>
      </c>
      <c r="K9" s="5">
        <v>62</v>
      </c>
      <c r="L9" s="5">
        <v>56</v>
      </c>
      <c r="M9" s="5">
        <v>61</v>
      </c>
    </row>
    <row r="10" spans="1:13" ht="16" x14ac:dyDescent="0.2">
      <c r="A10" s="5" t="s">
        <v>292</v>
      </c>
      <c r="B10" s="5" t="s">
        <v>112</v>
      </c>
      <c r="C10" s="5" t="s">
        <v>291</v>
      </c>
      <c r="D10" s="5">
        <v>21</v>
      </c>
      <c r="E10" s="5">
        <v>13</v>
      </c>
      <c r="F10" s="5">
        <v>12</v>
      </c>
      <c r="G10" s="5">
        <v>13</v>
      </c>
      <c r="H10" s="5">
        <v>0</v>
      </c>
      <c r="I10" s="5">
        <v>2</v>
      </c>
    </row>
    <row r="11" spans="1:13" ht="16" x14ac:dyDescent="0.2">
      <c r="A11" s="5" t="s">
        <v>357</v>
      </c>
      <c r="B11" s="5" t="s">
        <v>371</v>
      </c>
      <c r="C11" s="5" t="s">
        <v>356</v>
      </c>
      <c r="D11" s="5">
        <v>2</v>
      </c>
      <c r="E11" s="5">
        <v>2</v>
      </c>
      <c r="F11" s="5">
        <v>2</v>
      </c>
      <c r="G11" s="5">
        <v>2</v>
      </c>
      <c r="H11" s="5">
        <v>0</v>
      </c>
      <c r="I11" s="5">
        <v>0</v>
      </c>
    </row>
    <row r="12" spans="1:13" ht="16" x14ac:dyDescent="0.2">
      <c r="A12" s="5" t="s">
        <v>357</v>
      </c>
      <c r="B12" s="5" t="s">
        <v>95</v>
      </c>
      <c r="C12" s="5" t="s">
        <v>356</v>
      </c>
      <c r="D12" s="5">
        <v>63</v>
      </c>
      <c r="E12" s="5">
        <v>49</v>
      </c>
      <c r="F12" s="5">
        <v>60</v>
      </c>
      <c r="G12" s="5">
        <v>63</v>
      </c>
      <c r="H12" s="5">
        <v>14</v>
      </c>
      <c r="I12" s="5">
        <v>2</v>
      </c>
    </row>
    <row r="13" spans="1:13" ht="16" x14ac:dyDescent="0.2">
      <c r="A13" s="5" t="s">
        <v>357</v>
      </c>
      <c r="B13" s="5" t="s">
        <v>112</v>
      </c>
      <c r="C13" s="5" t="s">
        <v>356</v>
      </c>
      <c r="D13" s="5">
        <v>24</v>
      </c>
      <c r="E13" s="5">
        <v>15</v>
      </c>
      <c r="F13" s="5">
        <v>12</v>
      </c>
      <c r="G13" s="5">
        <v>15</v>
      </c>
      <c r="H13" s="5">
        <v>0</v>
      </c>
      <c r="I13" s="5">
        <v>4</v>
      </c>
    </row>
    <row r="14" spans="1:13" ht="16" x14ac:dyDescent="0.2">
      <c r="A14" s="5" t="s">
        <v>443</v>
      </c>
      <c r="B14" s="5" t="s">
        <v>371</v>
      </c>
      <c r="C14" s="5" t="s">
        <v>442</v>
      </c>
      <c r="D14" s="5">
        <v>60</v>
      </c>
      <c r="E14" s="5">
        <v>60</v>
      </c>
      <c r="F14" s="5">
        <v>54</v>
      </c>
      <c r="G14" s="5">
        <v>59</v>
      </c>
      <c r="H14" s="5">
        <v>0</v>
      </c>
      <c r="I14" s="5">
        <v>6</v>
      </c>
    </row>
    <row r="15" spans="1:13" ht="16" x14ac:dyDescent="0.2">
      <c r="A15" s="5" t="s">
        <v>443</v>
      </c>
      <c r="B15" s="5" t="s">
        <v>112</v>
      </c>
      <c r="C15" s="5" t="s">
        <v>442</v>
      </c>
      <c r="D15" s="5">
        <v>6</v>
      </c>
      <c r="E15" s="5">
        <v>2</v>
      </c>
      <c r="F15" s="5">
        <v>2</v>
      </c>
      <c r="G15" s="5">
        <v>2</v>
      </c>
      <c r="H15" s="5">
        <v>0</v>
      </c>
      <c r="I15" s="5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baseColWidth="10" defaultColWidth="8.83203125" defaultRowHeight="15" x14ac:dyDescent="0.2"/>
  <cols>
    <col min="1" max="2" width="18" customWidth="1"/>
  </cols>
  <sheetData>
    <row r="1" spans="1:6" ht="19" x14ac:dyDescent="0.25">
      <c r="A1" s="4" t="s">
        <v>548</v>
      </c>
    </row>
    <row r="3" spans="1:6" ht="16" x14ac:dyDescent="0.2">
      <c r="A3" s="3" t="s">
        <v>14</v>
      </c>
      <c r="B3" s="3" t="s">
        <v>40</v>
      </c>
      <c r="C3" s="3" t="s">
        <v>530</v>
      </c>
      <c r="D3" s="3" t="s">
        <v>52</v>
      </c>
      <c r="E3" s="3" t="s">
        <v>53</v>
      </c>
      <c r="F3" s="3" t="s">
        <v>91</v>
      </c>
    </row>
    <row r="4" spans="1:6" ht="16" x14ac:dyDescent="0.2">
      <c r="A4" s="5" t="s">
        <v>507</v>
      </c>
      <c r="B4" s="5" t="s">
        <v>359</v>
      </c>
      <c r="C4" s="5">
        <v>10</v>
      </c>
      <c r="D4" s="5">
        <v>6</v>
      </c>
      <c r="E4" s="5">
        <v>4</v>
      </c>
      <c r="F4" s="5">
        <v>0</v>
      </c>
    </row>
    <row r="5" spans="1:6" ht="16" x14ac:dyDescent="0.2">
      <c r="A5" s="5" t="s">
        <v>93</v>
      </c>
      <c r="B5" s="5" t="s">
        <v>54</v>
      </c>
      <c r="C5" s="5">
        <v>61</v>
      </c>
      <c r="D5" s="5">
        <v>27</v>
      </c>
      <c r="E5" s="5">
        <v>34</v>
      </c>
      <c r="F5" s="5">
        <v>0</v>
      </c>
    </row>
    <row r="6" spans="1:6" ht="16" x14ac:dyDescent="0.2">
      <c r="A6" s="5" t="s">
        <v>93</v>
      </c>
      <c r="B6" s="5" t="s">
        <v>153</v>
      </c>
      <c r="C6" s="5">
        <v>1</v>
      </c>
      <c r="D6" s="5">
        <v>0</v>
      </c>
      <c r="E6" s="5">
        <v>1</v>
      </c>
      <c r="F6" s="5">
        <v>0</v>
      </c>
    </row>
    <row r="7" spans="1:6" ht="16" x14ac:dyDescent="0.2">
      <c r="A7" s="5" t="s">
        <v>93</v>
      </c>
      <c r="B7" s="5" t="s">
        <v>91</v>
      </c>
      <c r="C7" s="5">
        <v>8</v>
      </c>
      <c r="D7" s="5">
        <v>0</v>
      </c>
      <c r="E7" s="5">
        <v>0</v>
      </c>
      <c r="F7" s="5">
        <v>8</v>
      </c>
    </row>
    <row r="8" spans="1:6" ht="16" x14ac:dyDescent="0.2">
      <c r="A8" s="5" t="s">
        <v>442</v>
      </c>
      <c r="B8" s="5" t="s">
        <v>359</v>
      </c>
      <c r="C8" s="5">
        <v>61</v>
      </c>
      <c r="D8" s="5">
        <v>27</v>
      </c>
      <c r="E8" s="5">
        <v>34</v>
      </c>
      <c r="F8" s="5">
        <v>0</v>
      </c>
    </row>
    <row r="9" spans="1:6" ht="16" x14ac:dyDescent="0.2">
      <c r="A9" s="5" t="s">
        <v>442</v>
      </c>
      <c r="B9" s="5" t="s">
        <v>91</v>
      </c>
      <c r="C9" s="5">
        <v>5</v>
      </c>
      <c r="D9" s="5">
        <v>0</v>
      </c>
      <c r="E9" s="5">
        <v>0</v>
      </c>
      <c r="F9" s="5">
        <v>5</v>
      </c>
    </row>
    <row r="10" spans="1:6" ht="16" x14ac:dyDescent="0.2">
      <c r="A10" s="5" t="s">
        <v>167</v>
      </c>
      <c r="B10" s="5" t="s">
        <v>54</v>
      </c>
      <c r="C10" s="5">
        <v>119</v>
      </c>
      <c r="D10" s="5">
        <v>56</v>
      </c>
      <c r="E10" s="5">
        <v>63</v>
      </c>
      <c r="F10" s="5">
        <v>0</v>
      </c>
    </row>
    <row r="11" spans="1:6" ht="16" x14ac:dyDescent="0.2">
      <c r="A11" s="5" t="s">
        <v>167</v>
      </c>
      <c r="B11" s="5" t="s">
        <v>91</v>
      </c>
      <c r="C11" s="5">
        <v>8</v>
      </c>
      <c r="D11" s="5">
        <v>0</v>
      </c>
      <c r="E11" s="5">
        <v>0</v>
      </c>
      <c r="F11" s="5">
        <v>8</v>
      </c>
    </row>
    <row r="12" spans="1:6" ht="16" x14ac:dyDescent="0.2">
      <c r="A12" s="5" t="s">
        <v>291</v>
      </c>
      <c r="B12" s="5" t="s">
        <v>54</v>
      </c>
      <c r="C12" s="5">
        <v>62</v>
      </c>
      <c r="D12" s="5">
        <v>44</v>
      </c>
      <c r="E12" s="5">
        <v>18</v>
      </c>
      <c r="F12" s="5">
        <v>0</v>
      </c>
    </row>
    <row r="13" spans="1:6" ht="16" x14ac:dyDescent="0.2">
      <c r="A13" s="5" t="s">
        <v>291</v>
      </c>
      <c r="B13" s="5" t="s">
        <v>91</v>
      </c>
      <c r="C13" s="5">
        <v>8</v>
      </c>
      <c r="D13" s="5">
        <v>0</v>
      </c>
      <c r="E13" s="5">
        <v>0</v>
      </c>
      <c r="F13" s="5">
        <v>8</v>
      </c>
    </row>
    <row r="14" spans="1:6" ht="16" x14ac:dyDescent="0.2">
      <c r="A14" s="5" t="s">
        <v>356</v>
      </c>
      <c r="B14" s="5" t="s">
        <v>359</v>
      </c>
      <c r="C14" s="5">
        <v>80</v>
      </c>
      <c r="D14" s="5">
        <v>42</v>
      </c>
      <c r="E14" s="5">
        <v>38</v>
      </c>
      <c r="F14" s="5">
        <v>0</v>
      </c>
    </row>
    <row r="15" spans="1:6" ht="16" x14ac:dyDescent="0.2">
      <c r="A15" s="5" t="s">
        <v>356</v>
      </c>
      <c r="B15" s="5" t="s">
        <v>91</v>
      </c>
      <c r="C15" s="5">
        <v>9</v>
      </c>
      <c r="D15" s="5">
        <v>0</v>
      </c>
      <c r="E15" s="5">
        <v>0</v>
      </c>
      <c r="F15" s="5">
        <v>9</v>
      </c>
    </row>
    <row r="16" spans="1:6" ht="16" x14ac:dyDescent="0.2">
      <c r="A16" s="5" t="s">
        <v>46</v>
      </c>
      <c r="B16" s="5" t="s">
        <v>54</v>
      </c>
      <c r="C16" s="5">
        <v>27</v>
      </c>
      <c r="D16" s="5">
        <v>12</v>
      </c>
      <c r="E16" s="5">
        <v>15</v>
      </c>
      <c r="F16" s="5">
        <v>0</v>
      </c>
    </row>
    <row r="17" spans="1:6" ht="16" x14ac:dyDescent="0.2">
      <c r="A17" s="5" t="s">
        <v>46</v>
      </c>
      <c r="B17" s="5" t="s">
        <v>91</v>
      </c>
      <c r="C17" s="5">
        <v>2</v>
      </c>
      <c r="D17" s="5">
        <v>0</v>
      </c>
      <c r="E17" s="5">
        <v>0</v>
      </c>
      <c r="F17" s="5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workbookViewId="0">
      <pane ySplit="9" topLeftCell="A10" activePane="bottomLeft" state="frozen"/>
      <selection pane="bottomLeft" activeCell="Q20" sqref="Q20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4" customWidth="1"/>
    <col min="9" max="10" width="18" customWidth="1"/>
    <col min="11" max="11" width="14" customWidth="1"/>
  </cols>
  <sheetData>
    <row r="1" spans="1:11" ht="28" customHeight="1" x14ac:dyDescent="0.2">
      <c r="A1" s="31" t="s">
        <v>549</v>
      </c>
      <c r="B1" s="20"/>
      <c r="C1" s="20"/>
      <c r="D1" s="20"/>
      <c r="E1" s="20"/>
      <c r="F1" s="20"/>
      <c r="G1" s="20"/>
      <c r="H1" s="20"/>
      <c r="I1" s="20"/>
      <c r="J1" s="20"/>
    </row>
    <row r="2" spans="1:11" x14ac:dyDescent="0.2">
      <c r="A2" s="22" t="s">
        <v>550</v>
      </c>
      <c r="B2" s="23"/>
      <c r="C2" s="23"/>
      <c r="D2" s="23"/>
      <c r="E2" s="23"/>
      <c r="F2" s="23"/>
      <c r="G2" s="23"/>
      <c r="H2" s="23"/>
      <c r="I2" s="23"/>
      <c r="J2" s="24"/>
    </row>
    <row r="3" spans="1:11" x14ac:dyDescent="0.2">
      <c r="A3" s="25"/>
      <c r="B3" s="20"/>
      <c r="C3" s="20"/>
      <c r="D3" s="20"/>
      <c r="E3" s="20"/>
      <c r="F3" s="20"/>
      <c r="G3" s="20"/>
      <c r="H3" s="20"/>
      <c r="I3" s="20"/>
      <c r="J3" s="26"/>
    </row>
    <row r="4" spans="1:11" x14ac:dyDescent="0.2">
      <c r="A4" s="25"/>
      <c r="B4" s="20"/>
      <c r="C4" s="20"/>
      <c r="D4" s="20"/>
      <c r="E4" s="20"/>
      <c r="F4" s="20"/>
      <c r="G4" s="20"/>
      <c r="H4" s="20"/>
      <c r="I4" s="20"/>
      <c r="J4" s="26"/>
    </row>
    <row r="5" spans="1:11" x14ac:dyDescent="0.2">
      <c r="A5" s="25"/>
      <c r="B5" s="20"/>
      <c r="C5" s="20"/>
      <c r="D5" s="20"/>
      <c r="E5" s="20"/>
      <c r="F5" s="20"/>
      <c r="G5" s="20"/>
      <c r="H5" s="20"/>
      <c r="I5" s="20"/>
      <c r="J5" s="26"/>
    </row>
    <row r="6" spans="1:11" x14ac:dyDescent="0.2">
      <c r="A6" s="25"/>
      <c r="B6" s="20"/>
      <c r="C6" s="20"/>
      <c r="D6" s="20"/>
      <c r="E6" s="20"/>
      <c r="F6" s="20"/>
      <c r="G6" s="20"/>
      <c r="H6" s="20"/>
      <c r="I6" s="20"/>
      <c r="J6" s="26"/>
    </row>
    <row r="7" spans="1:11" x14ac:dyDescent="0.2">
      <c r="A7" s="27"/>
      <c r="B7" s="28"/>
      <c r="C7" s="28"/>
      <c r="D7" s="28"/>
      <c r="E7" s="28"/>
      <c r="F7" s="28"/>
      <c r="G7" s="28"/>
      <c r="H7" s="28"/>
      <c r="I7" s="28"/>
      <c r="J7" s="29"/>
    </row>
    <row r="9" spans="1:11" x14ac:dyDescent="0.2">
      <c r="A9" s="21" t="s">
        <v>551</v>
      </c>
      <c r="B9" s="20"/>
      <c r="C9" s="20"/>
      <c r="D9" s="20"/>
      <c r="E9" s="20"/>
      <c r="F9" s="20"/>
      <c r="G9" s="20"/>
      <c r="H9" s="20"/>
      <c r="I9" s="20"/>
      <c r="J9" s="20"/>
    </row>
    <row r="10" spans="1:11" x14ac:dyDescent="0.2">
      <c r="A10" s="6" t="s">
        <v>20</v>
      </c>
      <c r="B10" s="7" t="s">
        <v>552</v>
      </c>
      <c r="D10" s="30" t="s">
        <v>553</v>
      </c>
      <c r="E10" s="20"/>
      <c r="F10" s="20"/>
      <c r="G10" s="20"/>
      <c r="H10" s="20"/>
      <c r="I10" s="20"/>
      <c r="J10" s="20"/>
    </row>
    <row r="11" spans="1:11" x14ac:dyDescent="0.2">
      <c r="A11" s="6" t="s">
        <v>554</v>
      </c>
      <c r="B11" s="7" t="s">
        <v>552</v>
      </c>
      <c r="D11" s="20"/>
      <c r="E11" s="20"/>
      <c r="F11" s="20"/>
      <c r="G11" s="20"/>
      <c r="H11" s="20"/>
      <c r="I11" s="20"/>
      <c r="J11" s="20"/>
    </row>
    <row r="12" spans="1:11" x14ac:dyDescent="0.2">
      <c r="A12" s="6" t="s">
        <v>555</v>
      </c>
      <c r="B12" s="7" t="s">
        <v>556</v>
      </c>
      <c r="D12" s="20"/>
      <c r="E12" s="20"/>
      <c r="F12" s="20"/>
      <c r="G12" s="20"/>
      <c r="H12" s="20"/>
      <c r="I12" s="20"/>
      <c r="J12" s="20"/>
    </row>
    <row r="13" spans="1:11" x14ac:dyDescent="0.2">
      <c r="A13" s="6" t="s">
        <v>557</v>
      </c>
      <c r="B13" s="7" t="s">
        <v>552</v>
      </c>
      <c r="D13" s="20"/>
      <c r="E13" s="20"/>
      <c r="F13" s="20"/>
      <c r="G13" s="20"/>
      <c r="H13" s="20"/>
      <c r="I13" s="20"/>
      <c r="J13" s="20"/>
    </row>
    <row r="14" spans="1:11" ht="28" customHeight="1" x14ac:dyDescent="0.2">
      <c r="A14" s="32" t="s">
        <v>558</v>
      </c>
      <c r="B14" s="33"/>
      <c r="C14" s="33"/>
      <c r="D14" s="33"/>
      <c r="E14" s="33"/>
      <c r="F14" s="33"/>
      <c r="G14" s="33"/>
      <c r="H14" s="33"/>
      <c r="I14" s="33"/>
      <c r="J14" s="34"/>
      <c r="K14" s="16" t="s">
        <v>559</v>
      </c>
    </row>
    <row r="15" spans="1:11" x14ac:dyDescent="0.2">
      <c r="A15" s="21" t="s">
        <v>560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1" x14ac:dyDescent="0.2">
      <c r="A16" s="8" t="s">
        <v>561</v>
      </c>
      <c r="D16" s="8" t="s">
        <v>562</v>
      </c>
      <c r="G16" s="8" t="s">
        <v>563</v>
      </c>
      <c r="I16" s="8" t="s">
        <v>564</v>
      </c>
    </row>
    <row r="17" spans="1:9" ht="29" x14ac:dyDescent="0.35">
      <c r="A17" s="9">
        <f>COUNTIFS(BASE_MODELADA!$A$2:$A$462,"ORIFLAME",BASE_MODELADA!$H$2:$H$462,IF($B$10="Todos","*",$B$10),BASE_MODELADA!$I$2:$I$462,IF($B$11="Todos","*",$B$11),BASE_MODELADA!$B$2:$B$462,IF($B$13="Todos","*",$B$13))</f>
        <v>27</v>
      </c>
      <c r="D17" s="9">
        <f>IF($B$12="Todos",COUNTIFS(BASE_MODELADA!$A$2:$A$462,"ORIFLAME",BASE_MODELADA!$H$2:$H$462,IF($B$10="Todos","*",$B$10),BASE_MODELADA!$I$2:$I$462,IF($B$11="Todos","*",$B$11),BASE_MODELADA!$B$2:$B$462,IF($B$13="Todos","*",$B$13),BASE_MODELADA!$AF$2:$AF$462,1),IF(OR($B$12="Diabetes",$B$12="Prediabetes"),COUNTIFS(BASE_MODELADA!$A$2:$A$462,"ORIFLAME",BASE_MODELADA!$H$2:$H$462,IF($B$10="Todos","*",$B$10),BASE_MODELADA!$I$2:$I$462,IF($B$11="Todos","*",$B$11),BASE_MODELADA!$B$2:$B$462,IF($B$13="Todos","*",$B$13),BASE_MODELADA!$M$2:$M$462,1),IF(OR($B$12="HTA",$B$12="Pre-HTA"),COUNTIFS(BASE_MODELADA!$A$2:$A$462,"ORIFLAME",BASE_MODELADA!$H$2:$H$462,IF($B$10="Todos","*",$B$10),BASE_MODELADA!$I$2:$I$462,IF($B$11="Todos","*",$B$11),BASE_MODELADA!$B$2:$B$462,IF($B$13="Todos","*",$B$13),BASE_MODELADA!$Q$2:$Q$462,1),IF(OR($B$12="Sobrepeso",$B$12="Obesidad"),COUNTIFS(BASE_MODELADA!$A$2:$A$462,"ORIFLAME",BASE_MODELADA!$H$2:$H$462,IF($B$10="Todos","*",$B$10),BASE_MODELADA!$I$2:$I$462,IF($B$11="Todos","*",$B$11),BASE_MODELADA!$B$2:$B$462,IF($B$13="Todos","*",$B$13),BASE_MODELADA!$U$2:$U$462,1),IF($B$12="Dislipidemia",COUNTIFS(BASE_MODELADA!$A$2:$A$462,"ORIFLAME",BASE_MODELADA!$H$2:$H$462,IF($B$10="Todos","*",$B$10),BASE_MODELADA!$I$2:$I$462,IF($B$11="Todos","*",$B$11),BASE_MODELADA!$B$2:$B$462,IF($B$13="Todos","*",$B$13),BASE_MODELADA!$AA$2:$AA$462,1),IF($B$12="Tabaquismo",COUNTIFS(BASE_MODELADA!$A$2:$A$462,"ORIFLAME",BASE_MODELADA!$H$2:$H$462,IF($B$10="Todos","*",$B$10),BASE_MODELADA!$I$2:$I$462,IF($B$11="Todos","*",$B$11),BASE_MODELADA!$B$2:$B$462,IF($B$13="Todos","*",$B$13),BASE_MODELADA!$X$2:$X$462,1),0))))))</f>
        <v>27</v>
      </c>
      <c r="G17">
        <f>IF($B$12="Diabetes",COUNTIFS(BASE_MODELADA!$A$2:$A$462,"ORIFLAME",BASE_MODELADA!$H$2:$H$462,IF($B$10="Todos","*",$B$10),BASE_MODELADA!$I$2:$I$462,IF($B$11="Todos","*",$B$11),BASE_MODELADA!$B$2:$B$462,IF($B$13="Todos","*",$B$13),BASE_MODELADA!$K$2:$K$462,1),IF($B$12="Prediabetes",COUNTIFS(BASE_MODELADA!$A$2:$A$462,"ORIFLAME",BASE_MODELADA!$H$2:$H$462,IF($B$10="Todos","*",$B$10),BASE_MODELADA!$I$2:$I$462,IF($B$11="Todos","*",$B$11),BASE_MODELADA!$B$2:$B$462,IF($B$13="Todos","*",$B$13),BASE_MODELADA!$L$2:$L$462,1),IF($B$12="HTA",COUNTIFS(BASE_MODELADA!$A$2:$A$462,"ORIFLAME",BASE_MODELADA!$H$2:$H$462,IF($B$10="Todos","*",$B$10),BASE_MODELADA!$I$2:$I$462,IF($B$11="Todos","*",$B$11),BASE_MODELADA!$B$2:$B$462,IF($B$13="Todos","*",$B$13),BASE_MODELADA!$O$2:$O$462,1),IF($B$12="Pre-HTA",COUNTIFS(BASE_MODELADA!$A$2:$A$462,"ORIFLAME",BASE_MODELADA!$H$2:$H$462,IF($B$10="Todos","*",$B$10),BASE_MODELADA!$I$2:$I$462,IF($B$11="Todos","*",$B$11),BASE_MODELADA!$B$2:$B$462,IF($B$13="Todos","*",$B$13),BASE_MODELADA!$P$2:$P$462,1),IF($B$12="Sobrepeso",COUNTIFS(BASE_MODELADA!$A$2:$A$462,"ORIFLAME",BASE_MODELADA!$H$2:$H$462,IF($B$10="Todos","*",$B$10),BASE_MODELADA!$I$2:$I$462,IF($B$11="Todos","*",$B$11),BASE_MODELADA!$B$2:$B$462,IF($B$13="Todos","*",$B$13),BASE_MODELADA!$S$2:$S$462,1),IF($B$12="Obesidad",COUNTIFS(BASE_MODELADA!$A$2:$A$462,"ORIFLAME",BASE_MODELADA!$H$2:$H$462,IF($B$10="Todos","*",$B$10),BASE_MODELADA!$I$2:$I$462,IF($B$11="Todos","*",$B$11),BASE_MODELADA!$B$2:$B$462,IF($B$13="Todos","*",$B$13),BASE_MODELADA!$T$2:$T$462,1),IF($B$12="Dislipidemia",COUNTIFS(BASE_MODELADA!$A$2:$A$462,"ORIFLAME",BASE_MODELADA!$H$2:$H$462,IF($B$10="Todos","*",$B$10),BASE_MODELADA!$I$2:$I$462,IF($B$11="Todos","*",$B$11),BASE_MODELADA!$B$2:$B$462,IF($B$13="Todos","*",$B$13),BASE_MODELADA!$Z$2:$Z$462,1),IF($B$12="Tabaquismo",COUNTIFS(BASE_MODELADA!$A$2:$A$462,"ORIFLAME",BASE_MODELADA!$H$2:$H$462,IF($B$10="Todos","*",$B$10),BASE_MODELADA!$I$2:$I$462,IF($B$11="Todos","*",$B$11),BASE_MODELADA!$B$2:$B$462,IF($B$13="Todos","*",$B$13),BASE_MODELADA!$W$2:$W$462,1),0))))))))</f>
        <v>8</v>
      </c>
      <c r="I17" s="10">
        <f>IFERROR($G$17/$D$17,0)</f>
        <v>0.29629629629629628</v>
      </c>
    </row>
    <row r="20" spans="1:9" x14ac:dyDescent="0.2">
      <c r="A20" s="21" t="s">
        <v>565</v>
      </c>
      <c r="B20" s="20"/>
      <c r="C20" s="20"/>
      <c r="D20" s="20"/>
      <c r="E20" s="20"/>
      <c r="F20" s="20"/>
    </row>
    <row r="21" spans="1:9" ht="16" x14ac:dyDescent="0.2">
      <c r="A21" s="3" t="s">
        <v>566</v>
      </c>
      <c r="B21" s="3" t="s">
        <v>567</v>
      </c>
      <c r="C21" s="3" t="s">
        <v>568</v>
      </c>
      <c r="D21" s="3" t="s">
        <v>569</v>
      </c>
      <c r="E21" s="17" t="s">
        <v>570</v>
      </c>
    </row>
    <row r="22" spans="1:9" x14ac:dyDescent="0.2">
      <c r="A22" s="11" t="s">
        <v>67</v>
      </c>
      <c r="B22" s="11">
        <f>IF($B$12="Todos",COUNTIFS(BASE_MODELADA!$A$2:$A$462,"ORIFLAME",BASE_MODELADA!$H$2:$H$462,IF($B$10="Todos","FEMENINO",$B$10),BASE_MODELADA!$I$2:$I$462,IF($B$11="Todos",$A22,$B$11),BASE_MODELADA!$B$2:$B$462,IF($B$13="Todos","*",$B$13),BASE_MODELADA!$AF$2:$AF$462,1),IF($B$12="Diabetes",COUNTIFS(BASE_MODELADA!$A$2:$A$462,"ORIFLAME",BASE_MODELADA!$H$2:$H$462,IF($B$10="Todos","FEMENINO",$B$10),BASE_MODELADA!$I$2:$I$462,IF($B$11="Todos",$A22,$B$11),BASE_MODELADA!$B$2:$B$462,IF($B$13="Todos","*",$B$13),BASE_MODELADA!$K$2:$K$462,1),IF($B$12="Prediabetes",COUNTIFS(BASE_MODELADA!$A$2:$A$462,"ORIFLAME",BASE_MODELADA!$H$2:$H$462,IF($B$10="Todos","FEMENINO",$B$10),BASE_MODELADA!$I$2:$I$462,IF($B$11="Todos",$A22,$B$11),BASE_MODELADA!$B$2:$B$462,IF($B$13="Todos","*",$B$13),BASE_MODELADA!$L$2:$L$462,1),IF($B$12="HTA",COUNTIFS(BASE_MODELADA!$A$2:$A$462,"ORIFLAME",BASE_MODELADA!$H$2:$H$462,IF($B$10="Todos","FEMENINO",$B$10),BASE_MODELADA!$I$2:$I$462,IF($B$11="Todos",$A22,$B$11),BASE_MODELADA!$B$2:$B$462,IF($B$13="Todos","*",$B$13),BASE_MODELADA!$O$2:$O$462,1),IF($B$12="Pre-HTA",COUNTIFS(BASE_MODELADA!$A$2:$A$462,"ORIFLAME",BASE_MODELADA!$H$2:$H$462,IF($B$10="Todos","FEMENINO",$B$10),BASE_MODELADA!$I$2:$I$462,IF($B$11="Todos",$A22,$B$11),BASE_MODELADA!$B$2:$B$462,IF($B$13="Todos","*",$B$13),BASE_MODELADA!$P$2:$P$462,1),IF($B$12="Sobrepeso",COUNTIFS(BASE_MODELADA!$A$2:$A$462,"ORIFLAME",BASE_MODELADA!$H$2:$H$462,IF($B$10="Todos","FEMENINO",$B$10),BASE_MODELADA!$I$2:$I$462,IF($B$11="Todos",$A22,$B$11),BASE_MODELADA!$B$2:$B$462,IF($B$13="Todos","*",$B$13),BASE_MODELADA!$S$2:$S$462,1),IF($B$12="Obesidad",COUNTIFS(BASE_MODELADA!$A$2:$A$462,"ORIFLAME",BASE_MODELADA!$H$2:$H$462,IF($B$10="Todos","FEMENINO",$B$10),BASE_MODELADA!$I$2:$I$462,IF($B$11="Todos",$A22,$B$11),BASE_MODELADA!$B$2:$B$462,IF($B$13="Todos","*",$B$13),BASE_MODELADA!$T$2:$T$462,1),IF($B$12="Dislipidemia",COUNTIFS(BASE_MODELADA!$A$2:$A$462,"ORIFLAME",BASE_MODELADA!$H$2:$H$462,IF($B$10="Todos","FEMENINO",$B$10),BASE_MODELADA!$I$2:$I$462,IF($B$11="Todos",$A22,$B$11),BASE_MODELADA!$B$2:$B$462,IF($B$13="Todos","*",$B$13),BASE_MODELADA!$Z$2:$Z$462,1),IF($B$12="Tabaquismo",COUNTIFS(BASE_MODELADA!$A$2:$A$462,"ORIFLAME",BASE_MODELADA!$H$2:$H$462,IF($B$10="Todos","FEMENINO",$B$10),BASE_MODELADA!$I$2:$I$462,IF($B$11="Todos",$A22,$B$11),BASE_MODELADA!$B$2:$B$462,IF($B$13="Todos","*",$B$13),BASE_MODELADA!$W$2:$W$462,1),0)))))))))</f>
        <v>0</v>
      </c>
      <c r="C22" s="11">
        <f>IF($B$12="Todos",COUNTIFS(BASE_MODELADA!$A$2:$A$462,"ORIFLAME",BASE_MODELADA!$H$2:$H$462,IF($B$10="Todos","MASCULINO",$B$10),BASE_MODELADA!$I$2:$I$462,IF($B$11="Todos",$A22,$B$11),BASE_MODELADA!$B$2:$B$462,IF($B$13="Todos","*",$B$13),BASE_MODELADA!$AF$2:$AF$462,1),IF($B$12="Diabetes",COUNTIFS(BASE_MODELADA!$A$2:$A$462,"ORIFLAME",BASE_MODELADA!$H$2:$H$462,IF($B$10="Todos","MASCULINO",$B$10),BASE_MODELADA!$I$2:$I$462,IF($B$11="Todos",$A22,$B$11),BASE_MODELADA!$B$2:$B$462,IF($B$13="Todos","*",$B$13),BASE_MODELADA!$K$2:$K$462,1),IF($B$12="Prediabetes",COUNTIFS(BASE_MODELADA!$A$2:$A$462,"ORIFLAME",BASE_MODELADA!$H$2:$H$462,IF($B$10="Todos","MASCULINO",$B$10),BASE_MODELADA!$I$2:$I$462,IF($B$11="Todos",$A22,$B$11),BASE_MODELADA!$B$2:$B$462,IF($B$13="Todos","*",$B$13),BASE_MODELADA!$L$2:$L$462,1),IF($B$12="HTA",COUNTIFS(BASE_MODELADA!$A$2:$A$462,"ORIFLAME",BASE_MODELADA!$H$2:$H$462,IF($B$10="Todos","MASCULINO",$B$10),BASE_MODELADA!$I$2:$I$462,IF($B$11="Todos",$A22,$B$11),BASE_MODELADA!$B$2:$B$462,IF($B$13="Todos","*",$B$13),BASE_MODELADA!$O$2:$O$462,1),IF($B$12="Pre-HTA",COUNTIFS(BASE_MODELADA!$A$2:$A$462,"ORIFLAME",BASE_MODELADA!$H$2:$H$462,IF($B$10="Todos","MASCULINO",$B$10),BASE_MODELADA!$I$2:$I$462,IF($B$11="Todos",$A22,$B$11),BASE_MODELADA!$B$2:$B$462,IF($B$13="Todos","*",$B$13),BASE_MODELADA!$P$2:$P$462,1),IF($B$12="Sobrepeso",COUNTIFS(BASE_MODELADA!$A$2:$A$462,"ORIFLAME",BASE_MODELADA!$H$2:$H$462,IF($B$10="Todos","MASCULINO",$B$10),BASE_MODELADA!$I$2:$I$462,IF($B$11="Todos",$A22,$B$11),BASE_MODELADA!$B$2:$B$462,IF($B$13="Todos","*",$B$13),BASE_MODELADA!$S$2:$S$462,1),IF($B$12="Obesidad",COUNTIFS(BASE_MODELADA!$A$2:$A$462,"ORIFLAME",BASE_MODELADA!$H$2:$H$462,IF($B$10="Todos","MASCULINO",$B$10),BASE_MODELADA!$I$2:$I$462,IF($B$11="Todos",$A22,$B$11),BASE_MODELADA!$B$2:$B$462,IF($B$13="Todos","*",$B$13),BASE_MODELADA!$T$2:$T$462,1),IF($B$12="Dislipidemia",COUNTIFS(BASE_MODELADA!$A$2:$A$462,"ORIFLAME",BASE_MODELADA!$H$2:$H$462,IF($B$10="Todos","MASCULINO",$B$10),BASE_MODELADA!$I$2:$I$462,IF($B$11="Todos",$A22,$B$11),BASE_MODELADA!$B$2:$B$462,IF($B$13="Todos","*",$B$13),BASE_MODELADA!$Z$2:$Z$462,1),IF($B$12="Tabaquismo",COUNTIFS(BASE_MODELADA!$A$2:$A$462,"ORIFLAME",BASE_MODELADA!$H$2:$H$462,IF($B$10="Todos","MASCULINO",$B$10),BASE_MODELADA!$I$2:$I$462,IF($B$11="Todos",$A22,$B$11),BASE_MODELADA!$B$2:$B$462,IF($B$13="Todos","*",$B$13),BASE_MODELADA!$W$2:$W$462,1),0)))))))))</f>
        <v>0</v>
      </c>
      <c r="D22" s="11">
        <f>B22+C22</f>
        <v>0</v>
      </c>
      <c r="E22" s="18">
        <f>IFERROR(D22/$D$17,0)</f>
        <v>0</v>
      </c>
    </row>
    <row r="23" spans="1:9" x14ac:dyDescent="0.2">
      <c r="A23" s="11" t="s">
        <v>49</v>
      </c>
      <c r="B23" s="11">
        <f>IF($B$12="Todos",COUNTIFS(BASE_MODELADA!$A$2:$A$462,"ORIFLAME",BASE_MODELADA!$H$2:$H$462,IF($B$10="Todos","FEMENINO",$B$10),BASE_MODELADA!$I$2:$I$462,IF($B$11="Todos",$A23,$B$11),BASE_MODELADA!$B$2:$B$462,IF($B$13="Todos","*",$B$13),BASE_MODELADA!$AF$2:$AF$462,1),IF($B$12="Diabetes",COUNTIFS(BASE_MODELADA!$A$2:$A$462,"ORIFLAME",BASE_MODELADA!$H$2:$H$462,IF($B$10="Todos","FEMENINO",$B$10),BASE_MODELADA!$I$2:$I$462,IF($B$11="Todos",$A23,$B$11),BASE_MODELADA!$B$2:$B$462,IF($B$13="Todos","*",$B$13),BASE_MODELADA!$K$2:$K$462,1),IF($B$12="Prediabetes",COUNTIFS(BASE_MODELADA!$A$2:$A$462,"ORIFLAME",BASE_MODELADA!$H$2:$H$462,IF($B$10="Todos","FEMENINO",$B$10),BASE_MODELADA!$I$2:$I$462,IF($B$11="Todos",$A23,$B$11),BASE_MODELADA!$B$2:$B$462,IF($B$13="Todos","*",$B$13),BASE_MODELADA!$L$2:$L$462,1),IF($B$12="HTA",COUNTIFS(BASE_MODELADA!$A$2:$A$462,"ORIFLAME",BASE_MODELADA!$H$2:$H$462,IF($B$10="Todos","FEMENINO",$B$10),BASE_MODELADA!$I$2:$I$462,IF($B$11="Todos",$A23,$B$11),BASE_MODELADA!$B$2:$B$462,IF($B$13="Todos","*",$B$13),BASE_MODELADA!$O$2:$O$462,1),IF($B$12="Pre-HTA",COUNTIFS(BASE_MODELADA!$A$2:$A$462,"ORIFLAME",BASE_MODELADA!$H$2:$H$462,IF($B$10="Todos","FEMENINO",$B$10),BASE_MODELADA!$I$2:$I$462,IF($B$11="Todos",$A23,$B$11),BASE_MODELADA!$B$2:$B$462,IF($B$13="Todos","*",$B$13),BASE_MODELADA!$P$2:$P$462,1),IF($B$12="Sobrepeso",COUNTIFS(BASE_MODELADA!$A$2:$A$462,"ORIFLAME",BASE_MODELADA!$H$2:$H$462,IF($B$10="Todos","FEMENINO",$B$10),BASE_MODELADA!$I$2:$I$462,IF($B$11="Todos",$A23,$B$11),BASE_MODELADA!$B$2:$B$462,IF($B$13="Todos","*",$B$13),BASE_MODELADA!$S$2:$S$462,1),IF($B$12="Obesidad",COUNTIFS(BASE_MODELADA!$A$2:$A$462,"ORIFLAME",BASE_MODELADA!$H$2:$H$462,IF($B$10="Todos","FEMENINO",$B$10),BASE_MODELADA!$I$2:$I$462,IF($B$11="Todos",$A23,$B$11),BASE_MODELADA!$B$2:$B$462,IF($B$13="Todos","*",$B$13),BASE_MODELADA!$T$2:$T$462,1),IF($B$12="Dislipidemia",COUNTIFS(BASE_MODELADA!$A$2:$A$462,"ORIFLAME",BASE_MODELADA!$H$2:$H$462,IF($B$10="Todos","FEMENINO",$B$10),BASE_MODELADA!$I$2:$I$462,IF($B$11="Todos",$A23,$B$11),BASE_MODELADA!$B$2:$B$462,IF($B$13="Todos","*",$B$13),BASE_MODELADA!$Z$2:$Z$462,1),IF($B$12="Tabaquismo",COUNTIFS(BASE_MODELADA!$A$2:$A$462,"ORIFLAME",BASE_MODELADA!$H$2:$H$462,IF($B$10="Todos","FEMENINO",$B$10),BASE_MODELADA!$I$2:$I$462,IF($B$11="Todos",$A23,$B$11),BASE_MODELADA!$B$2:$B$462,IF($B$13="Todos","*",$B$13),BASE_MODELADA!$W$2:$W$462,1),0)))))))))</f>
        <v>0</v>
      </c>
      <c r="C23" s="11">
        <f>IF($B$12="Todos",COUNTIFS(BASE_MODELADA!$A$2:$A$462,"ORIFLAME",BASE_MODELADA!$H$2:$H$462,IF($B$10="Todos","MASCULINO",$B$10),BASE_MODELADA!$I$2:$I$462,IF($B$11="Todos",$A23,$B$11),BASE_MODELADA!$B$2:$B$462,IF($B$13="Todos","*",$B$13),BASE_MODELADA!$AF$2:$AF$462,1),IF($B$12="Diabetes",COUNTIFS(BASE_MODELADA!$A$2:$A$462,"ORIFLAME",BASE_MODELADA!$H$2:$H$462,IF($B$10="Todos","MASCULINO",$B$10),BASE_MODELADA!$I$2:$I$462,IF($B$11="Todos",$A23,$B$11),BASE_MODELADA!$B$2:$B$462,IF($B$13="Todos","*",$B$13),BASE_MODELADA!$K$2:$K$462,1),IF($B$12="Prediabetes",COUNTIFS(BASE_MODELADA!$A$2:$A$462,"ORIFLAME",BASE_MODELADA!$H$2:$H$462,IF($B$10="Todos","MASCULINO",$B$10),BASE_MODELADA!$I$2:$I$462,IF($B$11="Todos",$A23,$B$11),BASE_MODELADA!$B$2:$B$462,IF($B$13="Todos","*",$B$13),BASE_MODELADA!$L$2:$L$462,1),IF($B$12="HTA",COUNTIFS(BASE_MODELADA!$A$2:$A$462,"ORIFLAME",BASE_MODELADA!$H$2:$H$462,IF($B$10="Todos","MASCULINO",$B$10),BASE_MODELADA!$I$2:$I$462,IF($B$11="Todos",$A23,$B$11),BASE_MODELADA!$B$2:$B$462,IF($B$13="Todos","*",$B$13),BASE_MODELADA!$O$2:$O$462,1),IF($B$12="Pre-HTA",COUNTIFS(BASE_MODELADA!$A$2:$A$462,"ORIFLAME",BASE_MODELADA!$H$2:$H$462,IF($B$10="Todos","MASCULINO",$B$10),BASE_MODELADA!$I$2:$I$462,IF($B$11="Todos",$A23,$B$11),BASE_MODELADA!$B$2:$B$462,IF($B$13="Todos","*",$B$13),BASE_MODELADA!$P$2:$P$462,1),IF($B$12="Sobrepeso",COUNTIFS(BASE_MODELADA!$A$2:$A$462,"ORIFLAME",BASE_MODELADA!$H$2:$H$462,IF($B$10="Todos","MASCULINO",$B$10),BASE_MODELADA!$I$2:$I$462,IF($B$11="Todos",$A23,$B$11),BASE_MODELADA!$B$2:$B$462,IF($B$13="Todos","*",$B$13),BASE_MODELADA!$S$2:$S$462,1),IF($B$12="Obesidad",COUNTIFS(BASE_MODELADA!$A$2:$A$462,"ORIFLAME",BASE_MODELADA!$H$2:$H$462,IF($B$10="Todos","MASCULINO",$B$10),BASE_MODELADA!$I$2:$I$462,IF($B$11="Todos",$A23,$B$11),BASE_MODELADA!$B$2:$B$462,IF($B$13="Todos","*",$B$13),BASE_MODELADA!$T$2:$T$462,1),IF($B$12="Dislipidemia",COUNTIFS(BASE_MODELADA!$A$2:$A$462,"ORIFLAME",BASE_MODELADA!$H$2:$H$462,IF($B$10="Todos","MASCULINO",$B$10),BASE_MODELADA!$I$2:$I$462,IF($B$11="Todos",$A23,$B$11),BASE_MODELADA!$B$2:$B$462,IF($B$13="Todos","*",$B$13),BASE_MODELADA!$Z$2:$Z$462,1),IF($B$12="Tabaquismo",COUNTIFS(BASE_MODELADA!$A$2:$A$462,"ORIFLAME",BASE_MODELADA!$H$2:$H$462,IF($B$10="Todos","MASCULINO",$B$10),BASE_MODELADA!$I$2:$I$462,IF($B$11="Todos",$A23,$B$11),BASE_MODELADA!$B$2:$B$462,IF($B$13="Todos","*",$B$13),BASE_MODELADA!$W$2:$W$462,1),0)))))))))</f>
        <v>1</v>
      </c>
      <c r="D23" s="11">
        <f>B23+C23</f>
        <v>1</v>
      </c>
      <c r="E23" s="18">
        <f>IFERROR(D23/$D$17,0)</f>
        <v>3.7037037037037035E-2</v>
      </c>
    </row>
    <row r="24" spans="1:9" x14ac:dyDescent="0.2">
      <c r="A24" s="11" t="s">
        <v>64</v>
      </c>
      <c r="B24" s="11">
        <f>IF($B$12="Todos",COUNTIFS(BASE_MODELADA!$A$2:$A$462,"ORIFLAME",BASE_MODELADA!$H$2:$H$462,IF($B$10="Todos","FEMENINO",$B$10),BASE_MODELADA!$I$2:$I$462,IF($B$11="Todos",$A24,$B$11),BASE_MODELADA!$B$2:$B$462,IF($B$13="Todos","*",$B$13),BASE_MODELADA!$AF$2:$AF$462,1),IF($B$12="Diabetes",COUNTIFS(BASE_MODELADA!$A$2:$A$462,"ORIFLAME",BASE_MODELADA!$H$2:$H$462,IF($B$10="Todos","FEMENINO",$B$10),BASE_MODELADA!$I$2:$I$462,IF($B$11="Todos",$A24,$B$11),BASE_MODELADA!$B$2:$B$462,IF($B$13="Todos","*",$B$13),BASE_MODELADA!$K$2:$K$462,1),IF($B$12="Prediabetes",COUNTIFS(BASE_MODELADA!$A$2:$A$462,"ORIFLAME",BASE_MODELADA!$H$2:$H$462,IF($B$10="Todos","FEMENINO",$B$10),BASE_MODELADA!$I$2:$I$462,IF($B$11="Todos",$A24,$B$11),BASE_MODELADA!$B$2:$B$462,IF($B$13="Todos","*",$B$13),BASE_MODELADA!$L$2:$L$462,1),IF($B$12="HTA",COUNTIFS(BASE_MODELADA!$A$2:$A$462,"ORIFLAME",BASE_MODELADA!$H$2:$H$462,IF($B$10="Todos","FEMENINO",$B$10),BASE_MODELADA!$I$2:$I$462,IF($B$11="Todos",$A24,$B$11),BASE_MODELADA!$B$2:$B$462,IF($B$13="Todos","*",$B$13),BASE_MODELADA!$O$2:$O$462,1),IF($B$12="Pre-HTA",COUNTIFS(BASE_MODELADA!$A$2:$A$462,"ORIFLAME",BASE_MODELADA!$H$2:$H$462,IF($B$10="Todos","FEMENINO",$B$10),BASE_MODELADA!$I$2:$I$462,IF($B$11="Todos",$A24,$B$11),BASE_MODELADA!$B$2:$B$462,IF($B$13="Todos","*",$B$13),BASE_MODELADA!$P$2:$P$462,1),IF($B$12="Sobrepeso",COUNTIFS(BASE_MODELADA!$A$2:$A$462,"ORIFLAME",BASE_MODELADA!$H$2:$H$462,IF($B$10="Todos","FEMENINO",$B$10),BASE_MODELADA!$I$2:$I$462,IF($B$11="Todos",$A24,$B$11),BASE_MODELADA!$B$2:$B$462,IF($B$13="Todos","*",$B$13),BASE_MODELADA!$S$2:$S$462,1),IF($B$12="Obesidad",COUNTIFS(BASE_MODELADA!$A$2:$A$462,"ORIFLAME",BASE_MODELADA!$H$2:$H$462,IF($B$10="Todos","FEMENINO",$B$10),BASE_MODELADA!$I$2:$I$462,IF($B$11="Todos",$A24,$B$11),BASE_MODELADA!$B$2:$B$462,IF($B$13="Todos","*",$B$13),BASE_MODELADA!$T$2:$T$462,1),IF($B$12="Dislipidemia",COUNTIFS(BASE_MODELADA!$A$2:$A$462,"ORIFLAME",BASE_MODELADA!$H$2:$H$462,IF($B$10="Todos","FEMENINO",$B$10),BASE_MODELADA!$I$2:$I$462,IF($B$11="Todos",$A24,$B$11),BASE_MODELADA!$B$2:$B$462,IF($B$13="Todos","*",$B$13),BASE_MODELADA!$Z$2:$Z$462,1),IF($B$12="Tabaquismo",COUNTIFS(BASE_MODELADA!$A$2:$A$462,"ORIFLAME",BASE_MODELADA!$H$2:$H$462,IF($B$10="Todos","FEMENINO",$B$10),BASE_MODELADA!$I$2:$I$462,IF($B$11="Todos",$A24,$B$11),BASE_MODELADA!$B$2:$B$462,IF($B$13="Todos","*",$B$13),BASE_MODELADA!$W$2:$W$462,1),0)))))))))</f>
        <v>2</v>
      </c>
      <c r="C24" s="11">
        <f>IF($B$12="Todos",COUNTIFS(BASE_MODELADA!$A$2:$A$462,"ORIFLAME",BASE_MODELADA!$H$2:$H$462,IF($B$10="Todos","MASCULINO",$B$10),BASE_MODELADA!$I$2:$I$462,IF($B$11="Todos",$A24,$B$11),BASE_MODELADA!$B$2:$B$462,IF($B$13="Todos","*",$B$13),BASE_MODELADA!$AF$2:$AF$462,1),IF($B$12="Diabetes",COUNTIFS(BASE_MODELADA!$A$2:$A$462,"ORIFLAME",BASE_MODELADA!$H$2:$H$462,IF($B$10="Todos","MASCULINO",$B$10),BASE_MODELADA!$I$2:$I$462,IF($B$11="Todos",$A24,$B$11),BASE_MODELADA!$B$2:$B$462,IF($B$13="Todos","*",$B$13),BASE_MODELADA!$K$2:$K$462,1),IF($B$12="Prediabetes",COUNTIFS(BASE_MODELADA!$A$2:$A$462,"ORIFLAME",BASE_MODELADA!$H$2:$H$462,IF($B$10="Todos","MASCULINO",$B$10),BASE_MODELADA!$I$2:$I$462,IF($B$11="Todos",$A24,$B$11),BASE_MODELADA!$B$2:$B$462,IF($B$13="Todos","*",$B$13),BASE_MODELADA!$L$2:$L$462,1),IF($B$12="HTA",COUNTIFS(BASE_MODELADA!$A$2:$A$462,"ORIFLAME",BASE_MODELADA!$H$2:$H$462,IF($B$10="Todos","MASCULINO",$B$10),BASE_MODELADA!$I$2:$I$462,IF($B$11="Todos",$A24,$B$11),BASE_MODELADA!$B$2:$B$462,IF($B$13="Todos","*",$B$13),BASE_MODELADA!$O$2:$O$462,1),IF($B$12="Pre-HTA",COUNTIFS(BASE_MODELADA!$A$2:$A$462,"ORIFLAME",BASE_MODELADA!$H$2:$H$462,IF($B$10="Todos","MASCULINO",$B$10),BASE_MODELADA!$I$2:$I$462,IF($B$11="Todos",$A24,$B$11),BASE_MODELADA!$B$2:$B$462,IF($B$13="Todos","*",$B$13),BASE_MODELADA!$P$2:$P$462,1),IF($B$12="Sobrepeso",COUNTIFS(BASE_MODELADA!$A$2:$A$462,"ORIFLAME",BASE_MODELADA!$H$2:$H$462,IF($B$10="Todos","MASCULINO",$B$10),BASE_MODELADA!$I$2:$I$462,IF($B$11="Todos",$A24,$B$11),BASE_MODELADA!$B$2:$B$462,IF($B$13="Todos","*",$B$13),BASE_MODELADA!$S$2:$S$462,1),IF($B$12="Obesidad",COUNTIFS(BASE_MODELADA!$A$2:$A$462,"ORIFLAME",BASE_MODELADA!$H$2:$H$462,IF($B$10="Todos","MASCULINO",$B$10),BASE_MODELADA!$I$2:$I$462,IF($B$11="Todos",$A24,$B$11),BASE_MODELADA!$B$2:$B$462,IF($B$13="Todos","*",$B$13),BASE_MODELADA!$T$2:$T$462,1),IF($B$12="Dislipidemia",COUNTIFS(BASE_MODELADA!$A$2:$A$462,"ORIFLAME",BASE_MODELADA!$H$2:$H$462,IF($B$10="Todos","MASCULINO",$B$10),BASE_MODELADA!$I$2:$I$462,IF($B$11="Todos",$A24,$B$11),BASE_MODELADA!$B$2:$B$462,IF($B$13="Todos","*",$B$13),BASE_MODELADA!$Z$2:$Z$462,1),IF($B$12="Tabaquismo",COUNTIFS(BASE_MODELADA!$A$2:$A$462,"ORIFLAME",BASE_MODELADA!$H$2:$H$462,IF($B$10="Todos","MASCULINO",$B$10),BASE_MODELADA!$I$2:$I$462,IF($B$11="Todos",$A24,$B$11),BASE_MODELADA!$B$2:$B$462,IF($B$13="Todos","*",$B$13),BASE_MODELADA!$W$2:$W$462,1),0)))))))))</f>
        <v>1</v>
      </c>
      <c r="D24" s="11">
        <f>B24+C24</f>
        <v>3</v>
      </c>
      <c r="E24" s="18">
        <f>IFERROR(D24/$D$17,0)</f>
        <v>0.1111111111111111</v>
      </c>
    </row>
    <row r="25" spans="1:9" x14ac:dyDescent="0.2">
      <c r="A25" s="11" t="s">
        <v>70</v>
      </c>
      <c r="B25" s="11">
        <f>IF($B$12="Todos",COUNTIFS(BASE_MODELADA!$A$2:$A$462,"ORIFLAME",BASE_MODELADA!$H$2:$H$462,IF($B$10="Todos","FEMENINO",$B$10),BASE_MODELADA!$I$2:$I$462,IF($B$11="Todos",$A25,$B$11),BASE_MODELADA!$B$2:$B$462,IF($B$13="Todos","*",$B$13),BASE_MODELADA!$AF$2:$AF$462,1),IF($B$12="Diabetes",COUNTIFS(BASE_MODELADA!$A$2:$A$462,"ORIFLAME",BASE_MODELADA!$H$2:$H$462,IF($B$10="Todos","FEMENINO",$B$10),BASE_MODELADA!$I$2:$I$462,IF($B$11="Todos",$A25,$B$11),BASE_MODELADA!$B$2:$B$462,IF($B$13="Todos","*",$B$13),BASE_MODELADA!$K$2:$K$462,1),IF($B$12="Prediabetes",COUNTIFS(BASE_MODELADA!$A$2:$A$462,"ORIFLAME",BASE_MODELADA!$H$2:$H$462,IF($B$10="Todos","FEMENINO",$B$10),BASE_MODELADA!$I$2:$I$462,IF($B$11="Todos",$A25,$B$11),BASE_MODELADA!$B$2:$B$462,IF($B$13="Todos","*",$B$13),BASE_MODELADA!$L$2:$L$462,1),IF($B$12="HTA",COUNTIFS(BASE_MODELADA!$A$2:$A$462,"ORIFLAME",BASE_MODELADA!$H$2:$H$462,IF($B$10="Todos","FEMENINO",$B$10),BASE_MODELADA!$I$2:$I$462,IF($B$11="Todos",$A25,$B$11),BASE_MODELADA!$B$2:$B$462,IF($B$13="Todos","*",$B$13),BASE_MODELADA!$O$2:$O$462,1),IF($B$12="Pre-HTA",COUNTIFS(BASE_MODELADA!$A$2:$A$462,"ORIFLAME",BASE_MODELADA!$H$2:$H$462,IF($B$10="Todos","FEMENINO",$B$10),BASE_MODELADA!$I$2:$I$462,IF($B$11="Todos",$A25,$B$11),BASE_MODELADA!$B$2:$B$462,IF($B$13="Todos","*",$B$13),BASE_MODELADA!$P$2:$P$462,1),IF($B$12="Sobrepeso",COUNTIFS(BASE_MODELADA!$A$2:$A$462,"ORIFLAME",BASE_MODELADA!$H$2:$H$462,IF($B$10="Todos","FEMENINO",$B$10),BASE_MODELADA!$I$2:$I$462,IF($B$11="Todos",$A25,$B$11),BASE_MODELADA!$B$2:$B$462,IF($B$13="Todos","*",$B$13),BASE_MODELADA!$S$2:$S$462,1),IF($B$12="Obesidad",COUNTIFS(BASE_MODELADA!$A$2:$A$462,"ORIFLAME",BASE_MODELADA!$H$2:$H$462,IF($B$10="Todos","FEMENINO",$B$10),BASE_MODELADA!$I$2:$I$462,IF($B$11="Todos",$A25,$B$11),BASE_MODELADA!$B$2:$B$462,IF($B$13="Todos","*",$B$13),BASE_MODELADA!$T$2:$T$462,1),IF($B$12="Dislipidemia",COUNTIFS(BASE_MODELADA!$A$2:$A$462,"ORIFLAME",BASE_MODELADA!$H$2:$H$462,IF($B$10="Todos","FEMENINO",$B$10),BASE_MODELADA!$I$2:$I$462,IF($B$11="Todos",$A25,$B$11),BASE_MODELADA!$B$2:$B$462,IF($B$13="Todos","*",$B$13),BASE_MODELADA!$Z$2:$Z$462,1),IF($B$12="Tabaquismo",COUNTIFS(BASE_MODELADA!$A$2:$A$462,"ORIFLAME",BASE_MODELADA!$H$2:$H$462,IF($B$10="Todos","FEMENINO",$B$10),BASE_MODELADA!$I$2:$I$462,IF($B$11="Todos",$A25,$B$11),BASE_MODELADA!$B$2:$B$462,IF($B$13="Todos","*",$B$13),BASE_MODELADA!$W$2:$W$462,1),0)))))))))</f>
        <v>2</v>
      </c>
      <c r="C25" s="11">
        <f>IF($B$12="Todos",COUNTIFS(BASE_MODELADA!$A$2:$A$462,"ORIFLAME",BASE_MODELADA!$H$2:$H$462,IF($B$10="Todos","MASCULINO",$B$10),BASE_MODELADA!$I$2:$I$462,IF($B$11="Todos",$A25,$B$11),BASE_MODELADA!$B$2:$B$462,IF($B$13="Todos","*",$B$13),BASE_MODELADA!$AF$2:$AF$462,1),IF($B$12="Diabetes",COUNTIFS(BASE_MODELADA!$A$2:$A$462,"ORIFLAME",BASE_MODELADA!$H$2:$H$462,IF($B$10="Todos","MASCULINO",$B$10),BASE_MODELADA!$I$2:$I$462,IF($B$11="Todos",$A25,$B$11),BASE_MODELADA!$B$2:$B$462,IF($B$13="Todos","*",$B$13),BASE_MODELADA!$K$2:$K$462,1),IF($B$12="Prediabetes",COUNTIFS(BASE_MODELADA!$A$2:$A$462,"ORIFLAME",BASE_MODELADA!$H$2:$H$462,IF($B$10="Todos","MASCULINO",$B$10),BASE_MODELADA!$I$2:$I$462,IF($B$11="Todos",$A25,$B$11),BASE_MODELADA!$B$2:$B$462,IF($B$13="Todos","*",$B$13),BASE_MODELADA!$L$2:$L$462,1),IF($B$12="HTA",COUNTIFS(BASE_MODELADA!$A$2:$A$462,"ORIFLAME",BASE_MODELADA!$H$2:$H$462,IF($B$10="Todos","MASCULINO",$B$10),BASE_MODELADA!$I$2:$I$462,IF($B$11="Todos",$A25,$B$11),BASE_MODELADA!$B$2:$B$462,IF($B$13="Todos","*",$B$13),BASE_MODELADA!$O$2:$O$462,1),IF($B$12="Pre-HTA",COUNTIFS(BASE_MODELADA!$A$2:$A$462,"ORIFLAME",BASE_MODELADA!$H$2:$H$462,IF($B$10="Todos","MASCULINO",$B$10),BASE_MODELADA!$I$2:$I$462,IF($B$11="Todos",$A25,$B$11),BASE_MODELADA!$B$2:$B$462,IF($B$13="Todos","*",$B$13),BASE_MODELADA!$P$2:$P$462,1),IF($B$12="Sobrepeso",COUNTIFS(BASE_MODELADA!$A$2:$A$462,"ORIFLAME",BASE_MODELADA!$H$2:$H$462,IF($B$10="Todos","MASCULINO",$B$10),BASE_MODELADA!$I$2:$I$462,IF($B$11="Todos",$A25,$B$11),BASE_MODELADA!$B$2:$B$462,IF($B$13="Todos","*",$B$13),BASE_MODELADA!$S$2:$S$462,1),IF($B$12="Obesidad",COUNTIFS(BASE_MODELADA!$A$2:$A$462,"ORIFLAME",BASE_MODELADA!$H$2:$H$462,IF($B$10="Todos","MASCULINO",$B$10),BASE_MODELADA!$I$2:$I$462,IF($B$11="Todos",$A25,$B$11),BASE_MODELADA!$B$2:$B$462,IF($B$13="Todos","*",$B$13),BASE_MODELADA!$T$2:$T$462,1),IF($B$12="Dislipidemia",COUNTIFS(BASE_MODELADA!$A$2:$A$462,"ORIFLAME",BASE_MODELADA!$H$2:$H$462,IF($B$10="Todos","MASCULINO",$B$10),BASE_MODELADA!$I$2:$I$462,IF($B$11="Todos",$A25,$B$11),BASE_MODELADA!$B$2:$B$462,IF($B$13="Todos","*",$B$13),BASE_MODELADA!$Z$2:$Z$462,1),IF($B$12="Tabaquismo",COUNTIFS(BASE_MODELADA!$A$2:$A$462,"ORIFLAME",BASE_MODELADA!$H$2:$H$462,IF($B$10="Todos","MASCULINO",$B$10),BASE_MODELADA!$I$2:$I$462,IF($B$11="Todos",$A25,$B$11),BASE_MODELADA!$B$2:$B$462,IF($B$13="Todos","*",$B$13),BASE_MODELADA!$W$2:$W$462,1),0)))))))))</f>
        <v>1</v>
      </c>
      <c r="D25" s="11">
        <f>B25+C25</f>
        <v>3</v>
      </c>
      <c r="E25" s="18">
        <f>IFERROR(D25/$D$17,0)</f>
        <v>0.1111111111111111</v>
      </c>
    </row>
    <row r="26" spans="1:9" x14ac:dyDescent="0.2">
      <c r="A26" s="11" t="s">
        <v>85</v>
      </c>
      <c r="B26" s="11">
        <f>IF($B$12="Todos",COUNTIFS(BASE_MODELADA!$A$2:$A$462,"ORIFLAME",BASE_MODELADA!$H$2:$H$462,IF($B$10="Todos","FEMENINO",$B$10),BASE_MODELADA!$I$2:$I$462,IF($B$11="Todos",$A26,$B$11),BASE_MODELADA!$B$2:$B$462,IF($B$13="Todos","*",$B$13),BASE_MODELADA!$AF$2:$AF$462,1),IF($B$12="Diabetes",COUNTIFS(BASE_MODELADA!$A$2:$A$462,"ORIFLAME",BASE_MODELADA!$H$2:$H$462,IF($B$10="Todos","FEMENINO",$B$10),BASE_MODELADA!$I$2:$I$462,IF($B$11="Todos",$A26,$B$11),BASE_MODELADA!$B$2:$B$462,IF($B$13="Todos","*",$B$13),BASE_MODELADA!$K$2:$K$462,1),IF($B$12="Prediabetes",COUNTIFS(BASE_MODELADA!$A$2:$A$462,"ORIFLAME",BASE_MODELADA!$H$2:$H$462,IF($B$10="Todos","FEMENINO",$B$10),BASE_MODELADA!$I$2:$I$462,IF($B$11="Todos",$A26,$B$11),BASE_MODELADA!$B$2:$B$462,IF($B$13="Todos","*",$B$13),BASE_MODELADA!$L$2:$L$462,1),IF($B$12="HTA",COUNTIFS(BASE_MODELADA!$A$2:$A$462,"ORIFLAME",BASE_MODELADA!$H$2:$H$462,IF($B$10="Todos","FEMENINO",$B$10),BASE_MODELADA!$I$2:$I$462,IF($B$11="Todos",$A26,$B$11),BASE_MODELADA!$B$2:$B$462,IF($B$13="Todos","*",$B$13),BASE_MODELADA!$O$2:$O$462,1),IF($B$12="Pre-HTA",COUNTIFS(BASE_MODELADA!$A$2:$A$462,"ORIFLAME",BASE_MODELADA!$H$2:$H$462,IF($B$10="Todos","FEMENINO",$B$10),BASE_MODELADA!$I$2:$I$462,IF($B$11="Todos",$A26,$B$11),BASE_MODELADA!$B$2:$B$462,IF($B$13="Todos","*",$B$13),BASE_MODELADA!$P$2:$P$462,1),IF($B$12="Sobrepeso",COUNTIFS(BASE_MODELADA!$A$2:$A$462,"ORIFLAME",BASE_MODELADA!$H$2:$H$462,IF($B$10="Todos","FEMENINO",$B$10),BASE_MODELADA!$I$2:$I$462,IF($B$11="Todos",$A26,$B$11),BASE_MODELADA!$B$2:$B$462,IF($B$13="Todos","*",$B$13),BASE_MODELADA!$S$2:$S$462,1),IF($B$12="Obesidad",COUNTIFS(BASE_MODELADA!$A$2:$A$462,"ORIFLAME",BASE_MODELADA!$H$2:$H$462,IF($B$10="Todos","FEMENINO",$B$10),BASE_MODELADA!$I$2:$I$462,IF($B$11="Todos",$A26,$B$11),BASE_MODELADA!$B$2:$B$462,IF($B$13="Todos","*",$B$13),BASE_MODELADA!$T$2:$T$462,1),IF($B$12="Dislipidemia",COUNTIFS(BASE_MODELADA!$A$2:$A$462,"ORIFLAME",BASE_MODELADA!$H$2:$H$462,IF($B$10="Todos","FEMENINO",$B$10),BASE_MODELADA!$I$2:$I$462,IF($B$11="Todos",$A26,$B$11),BASE_MODELADA!$B$2:$B$462,IF($B$13="Todos","*",$B$13),BASE_MODELADA!$Z$2:$Z$462,1),IF($B$12="Tabaquismo",COUNTIFS(BASE_MODELADA!$A$2:$A$462,"ORIFLAME",BASE_MODELADA!$H$2:$H$462,IF($B$10="Todos","FEMENINO",$B$10),BASE_MODELADA!$I$2:$I$462,IF($B$11="Todos",$A26,$B$11),BASE_MODELADA!$B$2:$B$462,IF($B$13="Todos","*",$B$13),BASE_MODELADA!$W$2:$W$462,1),0)))))))))</f>
        <v>0</v>
      </c>
      <c r="C26" s="11">
        <f>IF($B$12="Todos",COUNTIFS(BASE_MODELADA!$A$2:$A$462,"ORIFLAME",BASE_MODELADA!$H$2:$H$462,IF($B$10="Todos","MASCULINO",$B$10),BASE_MODELADA!$I$2:$I$462,IF($B$11="Todos",$A26,$B$11),BASE_MODELADA!$B$2:$B$462,IF($B$13="Todos","*",$B$13),BASE_MODELADA!$AF$2:$AF$462,1),IF($B$12="Diabetes",COUNTIFS(BASE_MODELADA!$A$2:$A$462,"ORIFLAME",BASE_MODELADA!$H$2:$H$462,IF($B$10="Todos","MASCULINO",$B$10),BASE_MODELADA!$I$2:$I$462,IF($B$11="Todos",$A26,$B$11),BASE_MODELADA!$B$2:$B$462,IF($B$13="Todos","*",$B$13),BASE_MODELADA!$K$2:$K$462,1),IF($B$12="Prediabetes",COUNTIFS(BASE_MODELADA!$A$2:$A$462,"ORIFLAME",BASE_MODELADA!$H$2:$H$462,IF($B$10="Todos","MASCULINO",$B$10),BASE_MODELADA!$I$2:$I$462,IF($B$11="Todos",$A26,$B$11),BASE_MODELADA!$B$2:$B$462,IF($B$13="Todos","*",$B$13),BASE_MODELADA!$L$2:$L$462,1),IF($B$12="HTA",COUNTIFS(BASE_MODELADA!$A$2:$A$462,"ORIFLAME",BASE_MODELADA!$H$2:$H$462,IF($B$10="Todos","MASCULINO",$B$10),BASE_MODELADA!$I$2:$I$462,IF($B$11="Todos",$A26,$B$11),BASE_MODELADA!$B$2:$B$462,IF($B$13="Todos","*",$B$13),BASE_MODELADA!$O$2:$O$462,1),IF($B$12="Pre-HTA",COUNTIFS(BASE_MODELADA!$A$2:$A$462,"ORIFLAME",BASE_MODELADA!$H$2:$H$462,IF($B$10="Todos","MASCULINO",$B$10),BASE_MODELADA!$I$2:$I$462,IF($B$11="Todos",$A26,$B$11),BASE_MODELADA!$B$2:$B$462,IF($B$13="Todos","*",$B$13),BASE_MODELADA!$P$2:$P$462,1),IF($B$12="Sobrepeso",COUNTIFS(BASE_MODELADA!$A$2:$A$462,"ORIFLAME",BASE_MODELADA!$H$2:$H$462,IF($B$10="Todos","MASCULINO",$B$10),BASE_MODELADA!$I$2:$I$462,IF($B$11="Todos",$A26,$B$11),BASE_MODELADA!$B$2:$B$462,IF($B$13="Todos","*",$B$13),BASE_MODELADA!$S$2:$S$462,1),IF($B$12="Obesidad",COUNTIFS(BASE_MODELADA!$A$2:$A$462,"ORIFLAME",BASE_MODELADA!$H$2:$H$462,IF($B$10="Todos","MASCULINO",$B$10),BASE_MODELADA!$I$2:$I$462,IF($B$11="Todos",$A26,$B$11),BASE_MODELADA!$B$2:$B$462,IF($B$13="Todos","*",$B$13),BASE_MODELADA!$T$2:$T$462,1),IF($B$12="Dislipidemia",COUNTIFS(BASE_MODELADA!$A$2:$A$462,"ORIFLAME",BASE_MODELADA!$H$2:$H$462,IF($B$10="Todos","MASCULINO",$B$10),BASE_MODELADA!$I$2:$I$462,IF($B$11="Todos",$A26,$B$11),BASE_MODELADA!$B$2:$B$462,IF($B$13="Todos","*",$B$13),BASE_MODELADA!$Z$2:$Z$462,1),IF($B$12="Tabaquismo",COUNTIFS(BASE_MODELADA!$A$2:$A$462,"ORIFLAME",BASE_MODELADA!$H$2:$H$462,IF($B$10="Todos","MASCULINO",$B$10),BASE_MODELADA!$I$2:$I$462,IF($B$11="Todos",$A26,$B$11),BASE_MODELADA!$B$2:$B$462,IF($B$13="Todos","*",$B$13),BASE_MODELADA!$W$2:$W$462,1),0)))))))))</f>
        <v>1</v>
      </c>
      <c r="D26" s="11">
        <f>B26+C26</f>
        <v>1</v>
      </c>
      <c r="E26" s="18">
        <f>IFERROR(D26/$D$17,0)</f>
        <v>3.7037037037037035E-2</v>
      </c>
    </row>
    <row r="28" spans="1:9" x14ac:dyDescent="0.2">
      <c r="A28" s="21" t="s">
        <v>571</v>
      </c>
      <c r="B28" s="20"/>
      <c r="C28" s="20"/>
      <c r="D28" s="20"/>
      <c r="E28" s="20"/>
      <c r="F28" s="20"/>
    </row>
    <row r="29" spans="1:9" ht="16" x14ac:dyDescent="0.2">
      <c r="A29" s="3" t="s">
        <v>572</v>
      </c>
      <c r="B29" s="3" t="s">
        <v>530</v>
      </c>
      <c r="C29" s="17" t="s">
        <v>570</v>
      </c>
    </row>
    <row r="30" spans="1:9" x14ac:dyDescent="0.2">
      <c r="A30" s="12" t="s">
        <v>573</v>
      </c>
      <c r="B30" s="12">
        <f>COUNTIFS(BASE_MODELADA!$A$2:$A$462,"ORIFLAME",BASE_MODELADA!$H$2:$H$462,IF($B$10="Todos","*",$B$10),BASE_MODELADA!$I$2:$I$462,IF($B$11="Todos","*",$B$11),BASE_MODELADA!$B$2:$B$462,IF($B$13="Todos","*",$B$13),BASE_MODELADA!$U$2:$U$462,1,BASE_MODELADA!$R$2:$R$462,"NORMOPESO")</f>
        <v>10</v>
      </c>
      <c r="C30" s="18">
        <f>IFERROR(B30/SUM($B$30:$B$32),0)</f>
        <v>0.37037037037037035</v>
      </c>
    </row>
    <row r="31" spans="1:9" x14ac:dyDescent="0.2">
      <c r="A31" s="12" t="s">
        <v>574</v>
      </c>
      <c r="B31" s="12">
        <f>COUNTIFS(BASE_MODELADA!$A$2:$A$462,"ORIFLAME",BASE_MODELADA!$H$2:$H$462,IF($B$10="Todos","*",$B$10),BASE_MODELADA!$I$2:$I$462,IF($B$11="Todos","*",$B$11),BASE_MODELADA!$B$2:$B$462,IF($B$13="Todos","*",$B$13),BASE_MODELADA!$U$2:$U$462,1,BASE_MODELADA!$R$2:$R$462,"SOBREPESO")</f>
        <v>13</v>
      </c>
      <c r="C31" s="18">
        <f>IFERROR(B31/SUM($B$30:$B$32),0)</f>
        <v>0.48148148148148145</v>
      </c>
    </row>
    <row r="32" spans="1:9" x14ac:dyDescent="0.2">
      <c r="A32" s="12" t="s">
        <v>575</v>
      </c>
      <c r="B32" s="12">
        <f>COUNTIFS(BASE_MODELADA!$A$2:$A$462,"ORIFLAME",BASE_MODELADA!$H$2:$H$462,IF($B$10="Todos","*",$B$10),BASE_MODELADA!$I$2:$I$462,IF($B$11="Todos","*",$B$11),BASE_MODELADA!$B$2:$B$462,IF($B$13="Todos","*",$B$13),BASE_MODELADA!$U$2:$U$462,1,BASE_MODELADA!$R$2:$R$462,"OBESIDAD")</f>
        <v>4</v>
      </c>
      <c r="C32" s="18">
        <f>IFERROR(B32/SUM($B$30:$B$32),0)</f>
        <v>0.14814814814814814</v>
      </c>
    </row>
    <row r="34" spans="1:6" x14ac:dyDescent="0.2">
      <c r="A34" s="21" t="s">
        <v>576</v>
      </c>
      <c r="B34" s="20"/>
      <c r="C34" s="20"/>
      <c r="D34" s="20"/>
      <c r="E34" s="20"/>
      <c r="F34" s="20"/>
    </row>
    <row r="35" spans="1:6" ht="16" x14ac:dyDescent="0.2">
      <c r="A35" s="3" t="s">
        <v>577</v>
      </c>
      <c r="B35" s="3" t="s">
        <v>530</v>
      </c>
      <c r="C35" s="17" t="s">
        <v>570</v>
      </c>
    </row>
    <row r="36" spans="1:6" x14ac:dyDescent="0.2">
      <c r="A36" s="12" t="s">
        <v>52</v>
      </c>
      <c r="B36" s="12">
        <f>COUNTIFS(BASE_MODELADA!$A$2:$A$462,"ORIFLAME",BASE_MODELADA!$H$2:$H$462,IF($B$10="Todos","*",$B$10),BASE_MODELADA!$I$2:$I$462,IF($B$11="Todos","*",$B$11),BASE_MODELADA!$B$2:$B$462,IF($B$13="Todos","*",$B$13),BASE_MODELADA!$AA$2:$AA$462,1,BASE_MODELADA!$Y$2:$Y$462,"SI")</f>
        <v>12</v>
      </c>
      <c r="C36" s="18">
        <f>IFERROR(B36/SUM($B$36:$B$38),0)</f>
        <v>0.44444444444444442</v>
      </c>
    </row>
    <row r="37" spans="1:6" x14ac:dyDescent="0.2">
      <c r="A37" s="12" t="s">
        <v>53</v>
      </c>
      <c r="B37" s="12">
        <f>COUNTIFS(BASE_MODELADA!$A$2:$A$462,"ORIFLAME",BASE_MODELADA!$H$2:$H$462,IF($B$10="Todos","*",$B$10),BASE_MODELADA!$I$2:$I$462,IF($B$11="Todos","*",$B$11),BASE_MODELADA!$B$2:$B$462,IF($B$13="Todos","*",$B$13),BASE_MODELADA!$AA$2:$AA$462,1,BASE_MODELADA!$Y$2:$Y$462,"NO")</f>
        <v>15</v>
      </c>
      <c r="C37" s="18">
        <f>IFERROR(B37/SUM($B$36:$B$38),0)</f>
        <v>0.55555555555555558</v>
      </c>
    </row>
    <row r="38" spans="1:6" x14ac:dyDescent="0.2">
      <c r="A38" s="12" t="s">
        <v>91</v>
      </c>
      <c r="B38" s="12">
        <f>COUNTIFS(BASE_MODELADA!$A$2:$A$462,"ORIFLAME",BASE_MODELADA!$H$2:$H$462,IF($B$10="Todos","*",$B$10),BASE_MODELADA!$I$2:$I$462,IF($B$11="Todos","*",$B$11),BASE_MODELADA!$B$2:$B$462,IF($B$13="Todos","*",$B$13),BASE_MODELADA!$AA$2:$AA$462,1,BASE_MODELADA!$Y$2:$Y$462,"NA")</f>
        <v>0</v>
      </c>
      <c r="C38" s="18">
        <f>IFERROR(B38/SUM($B$36:$B$38),0)</f>
        <v>0</v>
      </c>
    </row>
  </sheetData>
  <mergeCells count="9">
    <mergeCell ref="A34:F34"/>
    <mergeCell ref="A2:J7"/>
    <mergeCell ref="A20:F20"/>
    <mergeCell ref="D10:J13"/>
    <mergeCell ref="A1:J1"/>
    <mergeCell ref="A28:F28"/>
    <mergeCell ref="A14:J14"/>
    <mergeCell ref="A9:J9"/>
    <mergeCell ref="A15:J15"/>
  </mergeCells>
  <dataValidations count="4">
    <dataValidation type="list" sqref="B10" xr:uid="{00000000-0002-0000-0600-000000000000}">
      <formula1>"Todos,FEMENINO,MASCULINO"</formula1>
    </dataValidation>
    <dataValidation type="list" sqref="B11" xr:uid="{00000000-0002-0000-0600-000001000000}">
      <formula1>"Todos,18-25,26-35,36-45,46-55,56+"</formula1>
    </dataValidation>
    <dataValidation type="list" sqref="B12" xr:uid="{00000000-0002-0000-0600-000002000000}">
      <formula1>"Todos,Diabetes,Prediabetes,HTA,Pre-HTA,Sobrepeso,Obesidad,Tabaquismo,Dislipidemia"</formula1>
    </dataValidation>
    <dataValidation type="list" sqref="B13" xr:uid="{00000000-0002-0000-0600-000003000000}">
      <formula1>"Todos,Oriflame"</formula1>
    </dataValidation>
  </dataValidations>
  <pageMargins left="0.75" right="0.75" top="1" bottom="1" header="0.5" footer="0.5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tabSelected="1" workbookViewId="0">
      <pane ySplit="9" topLeftCell="A10" activePane="bottomLeft" state="frozen"/>
      <selection pane="bottomLeft" activeCell="A2" sqref="A2:J7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4" customWidth="1"/>
    <col min="9" max="10" width="18" customWidth="1"/>
    <col min="11" max="11" width="14" customWidth="1"/>
  </cols>
  <sheetData>
    <row r="1" spans="1:11" ht="28" customHeight="1" x14ac:dyDescent="0.2">
      <c r="A1" s="31" t="s">
        <v>578</v>
      </c>
      <c r="B1" s="20"/>
      <c r="C1" s="20"/>
      <c r="D1" s="20"/>
      <c r="E1" s="20"/>
      <c r="F1" s="20"/>
      <c r="G1" s="20"/>
      <c r="H1" s="20"/>
      <c r="I1" s="20"/>
      <c r="J1" s="20"/>
    </row>
    <row r="2" spans="1:11" x14ac:dyDescent="0.2">
      <c r="A2" s="22" t="s">
        <v>550</v>
      </c>
      <c r="B2" s="23"/>
      <c r="C2" s="23"/>
      <c r="D2" s="23"/>
      <c r="E2" s="23"/>
      <c r="F2" s="23"/>
      <c r="G2" s="23"/>
      <c r="H2" s="23"/>
      <c r="I2" s="23"/>
      <c r="J2" s="24"/>
    </row>
    <row r="3" spans="1:11" x14ac:dyDescent="0.2">
      <c r="A3" s="25"/>
      <c r="B3" s="20"/>
      <c r="C3" s="20"/>
      <c r="D3" s="20"/>
      <c r="E3" s="20"/>
      <c r="F3" s="20"/>
      <c r="G3" s="20"/>
      <c r="H3" s="20"/>
      <c r="I3" s="20"/>
      <c r="J3" s="26"/>
    </row>
    <row r="4" spans="1:11" x14ac:dyDescent="0.2">
      <c r="A4" s="25"/>
      <c r="B4" s="20"/>
      <c r="C4" s="20"/>
      <c r="D4" s="20"/>
      <c r="E4" s="20"/>
      <c r="F4" s="20"/>
      <c r="G4" s="20"/>
      <c r="H4" s="20"/>
      <c r="I4" s="20"/>
      <c r="J4" s="26"/>
    </row>
    <row r="5" spans="1:11" x14ac:dyDescent="0.2">
      <c r="A5" s="25"/>
      <c r="B5" s="20"/>
      <c r="C5" s="20"/>
      <c r="D5" s="20"/>
      <c r="E5" s="20"/>
      <c r="F5" s="20"/>
      <c r="G5" s="20"/>
      <c r="H5" s="20"/>
      <c r="I5" s="20"/>
      <c r="J5" s="26"/>
    </row>
    <row r="6" spans="1:11" x14ac:dyDescent="0.2">
      <c r="A6" s="25"/>
      <c r="B6" s="20"/>
      <c r="C6" s="20"/>
      <c r="D6" s="20"/>
      <c r="E6" s="20"/>
      <c r="F6" s="20"/>
      <c r="G6" s="20"/>
      <c r="H6" s="20"/>
      <c r="I6" s="20"/>
      <c r="J6" s="26"/>
    </row>
    <row r="7" spans="1:11" x14ac:dyDescent="0.2">
      <c r="A7" s="27"/>
      <c r="B7" s="28"/>
      <c r="C7" s="28"/>
      <c r="D7" s="28"/>
      <c r="E7" s="28"/>
      <c r="F7" s="28"/>
      <c r="G7" s="28"/>
      <c r="H7" s="28"/>
      <c r="I7" s="28"/>
      <c r="J7" s="29"/>
    </row>
    <row r="9" spans="1:11" x14ac:dyDescent="0.2">
      <c r="A9" s="21" t="s">
        <v>551</v>
      </c>
      <c r="B9" s="20"/>
      <c r="C9" s="20"/>
      <c r="D9" s="20"/>
      <c r="E9" s="20"/>
      <c r="F9" s="20"/>
      <c r="G9" s="20"/>
      <c r="H9" s="20"/>
      <c r="I9" s="20"/>
      <c r="J9" s="20"/>
    </row>
    <row r="10" spans="1:11" x14ac:dyDescent="0.2">
      <c r="A10" s="6" t="s">
        <v>20</v>
      </c>
      <c r="B10" s="7" t="s">
        <v>552</v>
      </c>
      <c r="D10" s="35" t="s">
        <v>553</v>
      </c>
      <c r="E10" s="20"/>
      <c r="F10" s="20"/>
      <c r="G10" s="20"/>
      <c r="H10" s="20"/>
      <c r="I10" s="20"/>
      <c r="J10" s="26"/>
    </row>
    <row r="11" spans="1:11" x14ac:dyDescent="0.2">
      <c r="A11" s="6" t="s">
        <v>554</v>
      </c>
      <c r="B11" s="7" t="s">
        <v>552</v>
      </c>
      <c r="D11" s="20"/>
      <c r="E11" s="20"/>
      <c r="F11" s="20"/>
      <c r="G11" s="20"/>
      <c r="H11" s="20"/>
      <c r="I11" s="20"/>
      <c r="J11" s="26"/>
    </row>
    <row r="12" spans="1:11" x14ac:dyDescent="0.2">
      <c r="A12" s="6" t="s">
        <v>579</v>
      </c>
      <c r="B12" s="7" t="s">
        <v>552</v>
      </c>
      <c r="D12" s="20"/>
      <c r="E12" s="20"/>
      <c r="F12" s="20"/>
      <c r="G12" s="20"/>
      <c r="H12" s="20"/>
      <c r="I12" s="20"/>
      <c r="J12" s="26"/>
    </row>
    <row r="13" spans="1:11" x14ac:dyDescent="0.2">
      <c r="A13" s="6" t="s">
        <v>555</v>
      </c>
      <c r="B13" s="7" t="s">
        <v>556</v>
      </c>
      <c r="D13" s="28"/>
      <c r="E13" s="28"/>
      <c r="F13" s="28"/>
      <c r="G13" s="28"/>
      <c r="H13" s="28"/>
      <c r="I13" s="28"/>
      <c r="J13" s="29"/>
    </row>
    <row r="14" spans="1:11" ht="28" customHeight="1" x14ac:dyDescent="0.2">
      <c r="A14" s="32" t="s">
        <v>558</v>
      </c>
      <c r="B14" s="33"/>
      <c r="C14" s="33"/>
      <c r="D14" s="33"/>
      <c r="E14" s="33"/>
      <c r="F14" s="33"/>
      <c r="G14" s="33"/>
      <c r="H14" s="33"/>
      <c r="I14" s="33"/>
      <c r="J14" s="34"/>
      <c r="K14" s="16" t="s">
        <v>559</v>
      </c>
    </row>
    <row r="15" spans="1:11" x14ac:dyDescent="0.2">
      <c r="A15" s="21" t="s">
        <v>560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1" x14ac:dyDescent="0.2">
      <c r="A16" s="8" t="s">
        <v>561</v>
      </c>
      <c r="D16" s="8" t="s">
        <v>562</v>
      </c>
      <c r="G16" s="8" t="s">
        <v>563</v>
      </c>
      <c r="I16" s="8" t="s">
        <v>564</v>
      </c>
    </row>
    <row r="17" spans="1:9" ht="29" x14ac:dyDescent="0.35">
      <c r="A17" s="9">
        <f>COUNTIFS(BASE_MODELADA!$A$2:$A$462,"KIO",BASE_MODELADA!$H$2:$H$462,IF($B$10="Todos","*",$B$10),BASE_MODELADA!$I$2:$I$462,IF($B$11="Todos","*",$B$11),BASE_MODELADA!$D$2:$D$462,IF($B$12="Todos","*",$B$12))</f>
        <v>395</v>
      </c>
      <c r="D17" s="9">
        <f>IF($B$13="Todos",COUNTIFS(BASE_MODELADA!$A$2:$A$462,"KIO",BASE_MODELADA!$H$2:$H$462,IF($B$10="Todos","*",$B$10),BASE_MODELADA!$I$2:$I$462,IF($B$11="Todos","*",$B$11),BASE_MODELADA!$D$2:$D$462,IF($B$12="Todos","*",$B$12),BASE_MODELADA!$AF$2:$AF$462,1),IF(OR($B$13="Diabetes",$B$13="Prediabetes"),COUNTIFS(BASE_MODELADA!$A$2:$A$462,"KIO",BASE_MODELADA!$H$2:$H$462,IF($B$10="Todos","*",$B$10),BASE_MODELADA!$I$2:$I$462,IF($B$11="Todos","*",$B$11),BASE_MODELADA!$D$2:$D$462,IF($B$12="Todos","*",$B$12),BASE_MODELADA!$M$2:$M$462,1),IF(OR($B$13="HTA",$B$13="Pre-HTA"),COUNTIFS(BASE_MODELADA!$A$2:$A$462,"KIO",BASE_MODELADA!$H$2:$H$462,IF($B$10="Todos","*",$B$10),BASE_MODELADA!$I$2:$I$462,IF($B$11="Todos","*",$B$11),BASE_MODELADA!$D$2:$D$462,IF($B$12="Todos","*",$B$12),BASE_MODELADA!$Q$2:$Q$462,1),IF(OR($B$13="Sobrepeso",$B$13="Obesidad"),COUNTIFS(BASE_MODELADA!$A$2:$A$462,"KIO",BASE_MODELADA!$H$2:$H$462,IF($B$10="Todos","*",$B$10),BASE_MODELADA!$I$2:$I$462,IF($B$11="Todos","*",$B$11),BASE_MODELADA!$D$2:$D$462,IF($B$12="Todos","*",$B$12),BASE_MODELADA!$U$2:$U$462,1),IF($B$13="Dislipidemia",COUNTIFS(BASE_MODELADA!$A$2:$A$462,"KIO",BASE_MODELADA!$H$2:$H$462,IF($B$10="Todos","*",$B$10),BASE_MODELADA!$I$2:$I$462,IF($B$11="Todos","*",$B$11),BASE_MODELADA!$D$2:$D$462,IF($B$12="Todos","*",$B$12),BASE_MODELADA!$AA$2:$AA$462,1),IF($B$13="Tabaquismo",COUNTIFS(BASE_MODELADA!$A$2:$A$462,"KIO",BASE_MODELADA!$H$2:$H$462,IF($B$10="Todos","*",$B$10),BASE_MODELADA!$I$2:$I$462,IF($B$11="Todos","*",$B$11),BASE_MODELADA!$D$2:$D$462,IF($B$12="Todos","*",$B$12),BASE_MODELADA!$X$2:$X$462,1),0))))))</f>
        <v>393</v>
      </c>
      <c r="G17">
        <f>IF($B$13="Diabetes",COUNTIFS(BASE_MODELADA!$A$2:$A$462,"KIO",BASE_MODELADA!$H$2:$H$462,IF($B$10="Todos","*",$B$10),BASE_MODELADA!$I$2:$I$462,IF($B$11="Todos","*",$B$11),BASE_MODELADA!$D$2:$D$462,IF($B$12="Todos","*",$B$12),BASE_MODELADA!$K$2:$K$462,1),IF($B$13="Prediabetes",COUNTIFS(BASE_MODELADA!$A$2:$A$462,"KIO",BASE_MODELADA!$H$2:$H$462,IF($B$10="Todos","*",$B$10),BASE_MODELADA!$I$2:$I$462,IF($B$11="Todos","*",$B$11),BASE_MODELADA!$D$2:$D$462,IF($B$12="Todos","*",$B$12),BASE_MODELADA!$L$2:$L$462,1),IF($B$13="HTA",COUNTIFS(BASE_MODELADA!$A$2:$A$462,"KIO",BASE_MODELADA!$H$2:$H$462,IF($B$10="Todos","*",$B$10),BASE_MODELADA!$I$2:$I$462,IF($B$11="Todos","*",$B$11),BASE_MODELADA!$D$2:$D$462,IF($B$12="Todos","*",$B$12),BASE_MODELADA!$O$2:$O$462,1),IF($B$13="Pre-HTA",COUNTIFS(BASE_MODELADA!$A$2:$A$462,"KIO",BASE_MODELADA!$H$2:$H$462,IF($B$10="Todos","*",$B$10),BASE_MODELADA!$I$2:$I$462,IF($B$11="Todos","*",$B$11),BASE_MODELADA!$D$2:$D$462,IF($B$12="Todos","*",$B$12),BASE_MODELADA!$P$2:$P$462,1),IF($B$13="Sobrepeso",COUNTIFS(BASE_MODELADA!$A$2:$A$462,"KIO",BASE_MODELADA!$H$2:$H$462,IF($B$10="Todos","*",$B$10),BASE_MODELADA!$I$2:$I$462,IF($B$11="Todos","*",$B$11),BASE_MODELADA!$D$2:$D$462,IF($B$12="Todos","*",$B$12),BASE_MODELADA!$S$2:$S$462,1),IF($B$13="Obesidad",COUNTIFS(BASE_MODELADA!$A$2:$A$462,"KIO",BASE_MODELADA!$H$2:$H$462,IF($B$10="Todos","*",$B$10),BASE_MODELADA!$I$2:$I$462,IF($B$11="Todos","*",$B$11),BASE_MODELADA!$D$2:$D$462,IF($B$12="Todos","*",$B$12),BASE_MODELADA!$T$2:$T$462,1),IF($B$13="Dislipidemia",COUNTIFS(BASE_MODELADA!$A$2:$A$462,"KIO",BASE_MODELADA!$H$2:$H$462,IF($B$10="Todos","*",$B$10),BASE_MODELADA!$I$2:$I$462,IF($B$11="Todos","*",$B$11),BASE_MODELADA!$D$2:$D$462,IF($B$12="Todos","*",$B$12),BASE_MODELADA!$Z$2:$Z$462,1),IF($B$13="Tabaquismo",COUNTIFS(BASE_MODELADA!$A$2:$A$462,"KIO",BASE_MODELADA!$H$2:$H$462,IF($B$10="Todos","*",$B$10),BASE_MODELADA!$I$2:$I$462,IF($B$11="Todos","*",$B$11),BASE_MODELADA!$D$2:$D$462,IF($B$12="Todos","*",$B$12),BASE_MODELADA!$W$2:$W$462,1),0))))))))</f>
        <v>23</v>
      </c>
      <c r="I17" s="10">
        <f>IFERROR($G$17/$D$17,0)</f>
        <v>5.8524173027989825E-2</v>
      </c>
    </row>
    <row r="20" spans="1:9" x14ac:dyDescent="0.2">
      <c r="A20" s="21" t="s">
        <v>565</v>
      </c>
      <c r="B20" s="20"/>
      <c r="C20" s="20"/>
      <c r="D20" s="20"/>
      <c r="E20" s="20"/>
      <c r="F20" s="20"/>
    </row>
    <row r="21" spans="1:9" ht="16" x14ac:dyDescent="0.2">
      <c r="A21" s="3" t="s">
        <v>566</v>
      </c>
      <c r="B21" s="3" t="s">
        <v>567</v>
      </c>
      <c r="C21" s="3" t="s">
        <v>568</v>
      </c>
      <c r="D21" s="3" t="s">
        <v>569</v>
      </c>
      <c r="E21" s="17" t="s">
        <v>570</v>
      </c>
    </row>
    <row r="22" spans="1:9" x14ac:dyDescent="0.2">
      <c r="A22" s="11" t="s">
        <v>67</v>
      </c>
      <c r="B22" s="11">
        <f>IF($B$13="Todos",COUNTIFS(BASE_MODELADA!$A$2:$A$462,"KIO",BASE_MODELADA!$H$2:$H$462,IF($B$10="Todos","FEMENINO",$B$10),BASE_MODELADA!$I$2:$I$462,IF($B$11="Todos",$A22,$B$11),BASE_MODELADA!$D$2:$D$462,IF($B$12="Todos","*",$B$12),BASE_MODELADA!$AF$2:$AF$462,1),IF($B$13="Diabetes",COUNTIFS(BASE_MODELADA!$A$2:$A$462,"KIO",BASE_MODELADA!$H$2:$H$462,IF($B$10="Todos","FEMENINO",$B$10),BASE_MODELADA!$I$2:$I$462,IF($B$11="Todos",$A22,$B$11),BASE_MODELADA!$D$2:$D$462,IF($B$12="Todos","*",$B$12),BASE_MODELADA!$K$2:$K$462,1),IF($B$13="Prediabetes",COUNTIFS(BASE_MODELADA!$A$2:$A$462,"KIO",BASE_MODELADA!$H$2:$H$462,IF($B$10="Todos","FEMENINO",$B$10),BASE_MODELADA!$I$2:$I$462,IF($B$11="Todos",$A22,$B$11),BASE_MODELADA!$D$2:$D$462,IF($B$12="Todos","*",$B$12),BASE_MODELADA!$L$2:$L$462,1),IF($B$13="HTA",COUNTIFS(BASE_MODELADA!$A$2:$A$462,"KIO",BASE_MODELADA!$H$2:$H$462,IF($B$10="Todos","FEMENINO",$B$10),BASE_MODELADA!$I$2:$I$462,IF($B$11="Todos",$A22,$B$11),BASE_MODELADA!$D$2:$D$462,IF($B$12="Todos","*",$B$12),BASE_MODELADA!$O$2:$O$462,1),IF($B$13="Pre-HTA",COUNTIFS(BASE_MODELADA!$A$2:$A$462,"KIO",BASE_MODELADA!$H$2:$H$462,IF($B$10="Todos","FEMENINO",$B$10),BASE_MODELADA!$I$2:$I$462,IF($B$11="Todos",$A22,$B$11),BASE_MODELADA!$D$2:$D$462,IF($B$12="Todos","*",$B$12),BASE_MODELADA!$P$2:$P$462,1),IF($B$13="Sobrepeso",COUNTIFS(BASE_MODELADA!$A$2:$A$462,"KIO",BASE_MODELADA!$H$2:$H$462,IF($B$10="Todos","FEMENINO",$B$10),BASE_MODELADA!$I$2:$I$462,IF($B$11="Todos",$A22,$B$11),BASE_MODELADA!$D$2:$D$462,IF($B$12="Todos","*",$B$12),BASE_MODELADA!$S$2:$S$462,1),IF($B$13="Obesidad",COUNTIFS(BASE_MODELADA!$A$2:$A$462,"KIO",BASE_MODELADA!$H$2:$H$462,IF($B$10="Todos","FEMENINO",$B$10),BASE_MODELADA!$I$2:$I$462,IF($B$11="Todos",$A22,$B$11),BASE_MODELADA!$D$2:$D$462,IF($B$12="Todos","*",$B$12),BASE_MODELADA!$T$2:$T$462,1),IF($B$13="Dislipidemia",COUNTIFS(BASE_MODELADA!$A$2:$A$462,"KIO",BASE_MODELADA!$H$2:$H$462,IF($B$10="Todos","FEMENINO",$B$10),BASE_MODELADA!$I$2:$I$462,IF($B$11="Todos",$A22,$B$11),BASE_MODELADA!$D$2:$D$462,IF($B$12="Todos","*",$B$12),BASE_MODELADA!$Z$2:$Z$462,1),IF($B$13="Tabaquismo",COUNTIFS(BASE_MODELADA!$A$2:$A$462,"KIO",BASE_MODELADA!$H$2:$H$462,IF($B$10="Todos","FEMENINO",$B$10),BASE_MODELADA!$I$2:$I$462,IF($B$11="Todos",$A22,$B$11),BASE_MODELADA!$D$2:$D$462,IF($B$12="Todos","*",$B$12),BASE_MODELADA!$W$2:$W$462,1),0)))))))))</f>
        <v>0</v>
      </c>
      <c r="C22" s="11">
        <f>IF($B$13="Todos",COUNTIFS(BASE_MODELADA!$A$2:$A$462,"KIO",BASE_MODELADA!$H$2:$H$462,IF($B$10="Todos","MASCULINO",$B$10),BASE_MODELADA!$I$2:$I$462,IF($B$11="Todos",$A22,$B$11),BASE_MODELADA!$D$2:$D$462,IF($B$12="Todos","*",$B$12),BASE_MODELADA!$AF$2:$AF$462,1),IF($B$13="Diabetes",COUNTIFS(BASE_MODELADA!$A$2:$A$462,"KIO",BASE_MODELADA!$H$2:$H$462,IF($B$10="Todos","MASCULINO",$B$10),BASE_MODELADA!$I$2:$I$462,IF($B$11="Todos",$A22,$B$11),BASE_MODELADA!$D$2:$D$462,IF($B$12="Todos","*",$B$12),BASE_MODELADA!$K$2:$K$462,1),IF($B$13="Prediabetes",COUNTIFS(BASE_MODELADA!$A$2:$A$462,"KIO",BASE_MODELADA!$H$2:$H$462,IF($B$10="Todos","MASCULINO",$B$10),BASE_MODELADA!$I$2:$I$462,IF($B$11="Todos",$A22,$B$11),BASE_MODELADA!$D$2:$D$462,IF($B$12="Todos","*",$B$12),BASE_MODELADA!$L$2:$L$462,1),IF($B$13="HTA",COUNTIFS(BASE_MODELADA!$A$2:$A$462,"KIO",BASE_MODELADA!$H$2:$H$462,IF($B$10="Todos","MASCULINO",$B$10),BASE_MODELADA!$I$2:$I$462,IF($B$11="Todos",$A22,$B$11),BASE_MODELADA!$D$2:$D$462,IF($B$12="Todos","*",$B$12),BASE_MODELADA!$O$2:$O$462,1),IF($B$13="Pre-HTA",COUNTIFS(BASE_MODELADA!$A$2:$A$462,"KIO",BASE_MODELADA!$H$2:$H$462,IF($B$10="Todos","MASCULINO",$B$10),BASE_MODELADA!$I$2:$I$462,IF($B$11="Todos",$A22,$B$11),BASE_MODELADA!$D$2:$D$462,IF($B$12="Todos","*",$B$12),BASE_MODELADA!$P$2:$P$462,1),IF($B$13="Sobrepeso",COUNTIFS(BASE_MODELADA!$A$2:$A$462,"KIO",BASE_MODELADA!$H$2:$H$462,IF($B$10="Todos","MASCULINO",$B$10),BASE_MODELADA!$I$2:$I$462,IF($B$11="Todos",$A22,$B$11),BASE_MODELADA!$D$2:$D$462,IF($B$12="Todos","*",$B$12),BASE_MODELADA!$S$2:$S$462,1),IF($B$13="Obesidad",COUNTIFS(BASE_MODELADA!$A$2:$A$462,"KIO",BASE_MODELADA!$H$2:$H$462,IF($B$10="Todos","MASCULINO",$B$10),BASE_MODELADA!$I$2:$I$462,IF($B$11="Todos",$A22,$B$11),BASE_MODELADA!$D$2:$D$462,IF($B$12="Todos","*",$B$12),BASE_MODELADA!$T$2:$T$462,1),IF($B$13="Dislipidemia",COUNTIFS(BASE_MODELADA!$A$2:$A$462,"KIO",BASE_MODELADA!$H$2:$H$462,IF($B$10="Todos","MASCULINO",$B$10),BASE_MODELADA!$I$2:$I$462,IF($B$11="Todos",$A22,$B$11),BASE_MODELADA!$D$2:$D$462,IF($B$12="Todos","*",$B$12),BASE_MODELADA!$Z$2:$Z$462,1),IF($B$13="Tabaquismo",COUNTIFS(BASE_MODELADA!$A$2:$A$462,"KIO",BASE_MODELADA!$H$2:$H$462,IF($B$10="Todos","MASCULINO",$B$10),BASE_MODELADA!$I$2:$I$462,IF($B$11="Todos",$A22,$B$11),BASE_MODELADA!$D$2:$D$462,IF($B$12="Todos","*",$B$12),BASE_MODELADA!$W$2:$W$462,1),0)))))))))</f>
        <v>0</v>
      </c>
      <c r="D22" s="11">
        <f>B22+C22</f>
        <v>0</v>
      </c>
      <c r="E22" s="18">
        <f>IFERROR(D22/$D$17,0)</f>
        <v>0</v>
      </c>
    </row>
    <row r="23" spans="1:9" x14ac:dyDescent="0.2">
      <c r="A23" s="11" t="s">
        <v>49</v>
      </c>
      <c r="B23" s="11">
        <f>IF($B$13="Todos",COUNTIFS(BASE_MODELADA!$A$2:$A$462,"KIO",BASE_MODELADA!$H$2:$H$462,IF($B$10="Todos","FEMENINO",$B$10),BASE_MODELADA!$I$2:$I$462,IF($B$11="Todos",$A23,$B$11),BASE_MODELADA!$D$2:$D$462,IF($B$12="Todos","*",$B$12),BASE_MODELADA!$AF$2:$AF$462,1),IF($B$13="Diabetes",COUNTIFS(BASE_MODELADA!$A$2:$A$462,"KIO",BASE_MODELADA!$H$2:$H$462,IF($B$10="Todos","FEMENINO",$B$10),BASE_MODELADA!$I$2:$I$462,IF($B$11="Todos",$A23,$B$11),BASE_MODELADA!$D$2:$D$462,IF($B$12="Todos","*",$B$12),BASE_MODELADA!$K$2:$K$462,1),IF($B$13="Prediabetes",COUNTIFS(BASE_MODELADA!$A$2:$A$462,"KIO",BASE_MODELADA!$H$2:$H$462,IF($B$10="Todos","FEMENINO",$B$10),BASE_MODELADA!$I$2:$I$462,IF($B$11="Todos",$A23,$B$11),BASE_MODELADA!$D$2:$D$462,IF($B$12="Todos","*",$B$12),BASE_MODELADA!$L$2:$L$462,1),IF($B$13="HTA",COUNTIFS(BASE_MODELADA!$A$2:$A$462,"KIO",BASE_MODELADA!$H$2:$H$462,IF($B$10="Todos","FEMENINO",$B$10),BASE_MODELADA!$I$2:$I$462,IF($B$11="Todos",$A23,$B$11),BASE_MODELADA!$D$2:$D$462,IF($B$12="Todos","*",$B$12),BASE_MODELADA!$O$2:$O$462,1),IF($B$13="Pre-HTA",COUNTIFS(BASE_MODELADA!$A$2:$A$462,"KIO",BASE_MODELADA!$H$2:$H$462,IF($B$10="Todos","FEMENINO",$B$10),BASE_MODELADA!$I$2:$I$462,IF($B$11="Todos",$A23,$B$11),BASE_MODELADA!$D$2:$D$462,IF($B$12="Todos","*",$B$12),BASE_MODELADA!$P$2:$P$462,1),IF($B$13="Sobrepeso",COUNTIFS(BASE_MODELADA!$A$2:$A$462,"KIO",BASE_MODELADA!$H$2:$H$462,IF($B$10="Todos","FEMENINO",$B$10),BASE_MODELADA!$I$2:$I$462,IF($B$11="Todos",$A23,$B$11),BASE_MODELADA!$D$2:$D$462,IF($B$12="Todos","*",$B$12),BASE_MODELADA!$S$2:$S$462,1),IF($B$13="Obesidad",COUNTIFS(BASE_MODELADA!$A$2:$A$462,"KIO",BASE_MODELADA!$H$2:$H$462,IF($B$10="Todos","FEMENINO",$B$10),BASE_MODELADA!$I$2:$I$462,IF($B$11="Todos",$A23,$B$11),BASE_MODELADA!$D$2:$D$462,IF($B$12="Todos","*",$B$12),BASE_MODELADA!$T$2:$T$462,1),IF($B$13="Dislipidemia",COUNTIFS(BASE_MODELADA!$A$2:$A$462,"KIO",BASE_MODELADA!$H$2:$H$462,IF($B$10="Todos","FEMENINO",$B$10),BASE_MODELADA!$I$2:$I$462,IF($B$11="Todos",$A23,$B$11),BASE_MODELADA!$D$2:$D$462,IF($B$12="Todos","*",$B$12),BASE_MODELADA!$Z$2:$Z$462,1),IF($B$13="Tabaquismo",COUNTIFS(BASE_MODELADA!$A$2:$A$462,"KIO",BASE_MODELADA!$H$2:$H$462,IF($B$10="Todos","FEMENINO",$B$10),BASE_MODELADA!$I$2:$I$462,IF($B$11="Todos",$A23,$B$11),BASE_MODELADA!$D$2:$D$462,IF($B$12="Todos","*",$B$12),BASE_MODELADA!$W$2:$W$462,1),0)))))))))</f>
        <v>0</v>
      </c>
      <c r="C23" s="11">
        <f>IF($B$13="Todos",COUNTIFS(BASE_MODELADA!$A$2:$A$462,"KIO",BASE_MODELADA!$H$2:$H$462,IF($B$10="Todos","MASCULINO",$B$10),BASE_MODELADA!$I$2:$I$462,IF($B$11="Todos",$A23,$B$11),BASE_MODELADA!$D$2:$D$462,IF($B$12="Todos","*",$B$12),BASE_MODELADA!$AF$2:$AF$462,1),IF($B$13="Diabetes",COUNTIFS(BASE_MODELADA!$A$2:$A$462,"KIO",BASE_MODELADA!$H$2:$H$462,IF($B$10="Todos","MASCULINO",$B$10),BASE_MODELADA!$I$2:$I$462,IF($B$11="Todos",$A23,$B$11),BASE_MODELADA!$D$2:$D$462,IF($B$12="Todos","*",$B$12),BASE_MODELADA!$K$2:$K$462,1),IF($B$13="Prediabetes",COUNTIFS(BASE_MODELADA!$A$2:$A$462,"KIO",BASE_MODELADA!$H$2:$H$462,IF($B$10="Todos","MASCULINO",$B$10),BASE_MODELADA!$I$2:$I$462,IF($B$11="Todos",$A23,$B$11),BASE_MODELADA!$D$2:$D$462,IF($B$12="Todos","*",$B$12),BASE_MODELADA!$L$2:$L$462,1),IF($B$13="HTA",COUNTIFS(BASE_MODELADA!$A$2:$A$462,"KIO",BASE_MODELADA!$H$2:$H$462,IF($B$10="Todos","MASCULINO",$B$10),BASE_MODELADA!$I$2:$I$462,IF($B$11="Todos",$A23,$B$11),BASE_MODELADA!$D$2:$D$462,IF($B$12="Todos","*",$B$12),BASE_MODELADA!$O$2:$O$462,1),IF($B$13="Pre-HTA",COUNTIFS(BASE_MODELADA!$A$2:$A$462,"KIO",BASE_MODELADA!$H$2:$H$462,IF($B$10="Todos","MASCULINO",$B$10),BASE_MODELADA!$I$2:$I$462,IF($B$11="Todos",$A23,$B$11),BASE_MODELADA!$D$2:$D$462,IF($B$12="Todos","*",$B$12),BASE_MODELADA!$P$2:$P$462,1),IF($B$13="Sobrepeso",COUNTIFS(BASE_MODELADA!$A$2:$A$462,"KIO",BASE_MODELADA!$H$2:$H$462,IF($B$10="Todos","MASCULINO",$B$10),BASE_MODELADA!$I$2:$I$462,IF($B$11="Todos",$A23,$B$11),BASE_MODELADA!$D$2:$D$462,IF($B$12="Todos","*",$B$12),BASE_MODELADA!$S$2:$S$462,1),IF($B$13="Obesidad",COUNTIFS(BASE_MODELADA!$A$2:$A$462,"KIO",BASE_MODELADA!$H$2:$H$462,IF($B$10="Todos","MASCULINO",$B$10),BASE_MODELADA!$I$2:$I$462,IF($B$11="Todos",$A23,$B$11),BASE_MODELADA!$D$2:$D$462,IF($B$12="Todos","*",$B$12),BASE_MODELADA!$T$2:$T$462,1),IF($B$13="Dislipidemia",COUNTIFS(BASE_MODELADA!$A$2:$A$462,"KIO",BASE_MODELADA!$H$2:$H$462,IF($B$10="Todos","MASCULINO",$B$10),BASE_MODELADA!$I$2:$I$462,IF($B$11="Todos",$A23,$B$11),BASE_MODELADA!$D$2:$D$462,IF($B$12="Todos","*",$B$12),BASE_MODELADA!$Z$2:$Z$462,1),IF($B$13="Tabaquismo",COUNTIFS(BASE_MODELADA!$A$2:$A$462,"KIO",BASE_MODELADA!$H$2:$H$462,IF($B$10="Todos","MASCULINO",$B$10),BASE_MODELADA!$I$2:$I$462,IF($B$11="Todos",$A23,$B$11),BASE_MODELADA!$D$2:$D$462,IF($B$12="Todos","*",$B$12),BASE_MODELADA!$W$2:$W$462,1),0)))))))))</f>
        <v>0</v>
      </c>
      <c r="D23" s="11">
        <f>B23+C23</f>
        <v>0</v>
      </c>
      <c r="E23" s="18">
        <f>IFERROR(D23/$D$17,0)</f>
        <v>0</v>
      </c>
    </row>
    <row r="24" spans="1:9" x14ac:dyDescent="0.2">
      <c r="A24" s="11" t="s">
        <v>64</v>
      </c>
      <c r="B24" s="11">
        <f>IF($B$13="Todos",COUNTIFS(BASE_MODELADA!$A$2:$A$462,"KIO",BASE_MODELADA!$H$2:$H$462,IF($B$10="Todos","FEMENINO",$B$10),BASE_MODELADA!$I$2:$I$462,IF($B$11="Todos",$A24,$B$11),BASE_MODELADA!$D$2:$D$462,IF($B$12="Todos","*",$B$12),BASE_MODELADA!$AF$2:$AF$462,1),IF($B$13="Diabetes",COUNTIFS(BASE_MODELADA!$A$2:$A$462,"KIO",BASE_MODELADA!$H$2:$H$462,IF($B$10="Todos","FEMENINO",$B$10),BASE_MODELADA!$I$2:$I$462,IF($B$11="Todos",$A24,$B$11),BASE_MODELADA!$D$2:$D$462,IF($B$12="Todos","*",$B$12),BASE_MODELADA!$K$2:$K$462,1),IF($B$13="Prediabetes",COUNTIFS(BASE_MODELADA!$A$2:$A$462,"KIO",BASE_MODELADA!$H$2:$H$462,IF($B$10="Todos","FEMENINO",$B$10),BASE_MODELADA!$I$2:$I$462,IF($B$11="Todos",$A24,$B$11),BASE_MODELADA!$D$2:$D$462,IF($B$12="Todos","*",$B$12),BASE_MODELADA!$L$2:$L$462,1),IF($B$13="HTA",COUNTIFS(BASE_MODELADA!$A$2:$A$462,"KIO",BASE_MODELADA!$H$2:$H$462,IF($B$10="Todos","FEMENINO",$B$10),BASE_MODELADA!$I$2:$I$462,IF($B$11="Todos",$A24,$B$11),BASE_MODELADA!$D$2:$D$462,IF($B$12="Todos","*",$B$12),BASE_MODELADA!$O$2:$O$462,1),IF($B$13="Pre-HTA",COUNTIFS(BASE_MODELADA!$A$2:$A$462,"KIO",BASE_MODELADA!$H$2:$H$462,IF($B$10="Todos","FEMENINO",$B$10),BASE_MODELADA!$I$2:$I$462,IF($B$11="Todos",$A24,$B$11),BASE_MODELADA!$D$2:$D$462,IF($B$12="Todos","*",$B$12),BASE_MODELADA!$P$2:$P$462,1),IF($B$13="Sobrepeso",COUNTIFS(BASE_MODELADA!$A$2:$A$462,"KIO",BASE_MODELADA!$H$2:$H$462,IF($B$10="Todos","FEMENINO",$B$10),BASE_MODELADA!$I$2:$I$462,IF($B$11="Todos",$A24,$B$11),BASE_MODELADA!$D$2:$D$462,IF($B$12="Todos","*",$B$12),BASE_MODELADA!$S$2:$S$462,1),IF($B$13="Obesidad",COUNTIFS(BASE_MODELADA!$A$2:$A$462,"KIO",BASE_MODELADA!$H$2:$H$462,IF($B$10="Todos","FEMENINO",$B$10),BASE_MODELADA!$I$2:$I$462,IF($B$11="Todos",$A24,$B$11),BASE_MODELADA!$D$2:$D$462,IF($B$12="Todos","*",$B$12),BASE_MODELADA!$T$2:$T$462,1),IF($B$13="Dislipidemia",COUNTIFS(BASE_MODELADA!$A$2:$A$462,"KIO",BASE_MODELADA!$H$2:$H$462,IF($B$10="Todos","FEMENINO",$B$10),BASE_MODELADA!$I$2:$I$462,IF($B$11="Todos",$A24,$B$11),BASE_MODELADA!$D$2:$D$462,IF($B$12="Todos","*",$B$12),BASE_MODELADA!$Z$2:$Z$462,1),IF($B$13="Tabaquismo",COUNTIFS(BASE_MODELADA!$A$2:$A$462,"KIO",BASE_MODELADA!$H$2:$H$462,IF($B$10="Todos","FEMENINO",$B$10),BASE_MODELADA!$I$2:$I$462,IF($B$11="Todos",$A24,$B$11),BASE_MODELADA!$D$2:$D$462,IF($B$12="Todos","*",$B$12),BASE_MODELADA!$W$2:$W$462,1),0)))))))))</f>
        <v>5</v>
      </c>
      <c r="C24" s="11">
        <f>IF($B$13="Todos",COUNTIFS(BASE_MODELADA!$A$2:$A$462,"KIO",BASE_MODELADA!$H$2:$H$462,IF($B$10="Todos","MASCULINO",$B$10),BASE_MODELADA!$I$2:$I$462,IF($B$11="Todos",$A24,$B$11),BASE_MODELADA!$D$2:$D$462,IF($B$12="Todos","*",$B$12),BASE_MODELADA!$AF$2:$AF$462,1),IF($B$13="Diabetes",COUNTIFS(BASE_MODELADA!$A$2:$A$462,"KIO",BASE_MODELADA!$H$2:$H$462,IF($B$10="Todos","MASCULINO",$B$10),BASE_MODELADA!$I$2:$I$462,IF($B$11="Todos",$A24,$B$11),BASE_MODELADA!$D$2:$D$462,IF($B$12="Todos","*",$B$12),BASE_MODELADA!$K$2:$K$462,1),IF($B$13="Prediabetes",COUNTIFS(BASE_MODELADA!$A$2:$A$462,"KIO",BASE_MODELADA!$H$2:$H$462,IF($B$10="Todos","MASCULINO",$B$10),BASE_MODELADA!$I$2:$I$462,IF($B$11="Todos",$A24,$B$11),BASE_MODELADA!$D$2:$D$462,IF($B$12="Todos","*",$B$12),BASE_MODELADA!$L$2:$L$462,1),IF($B$13="HTA",COUNTIFS(BASE_MODELADA!$A$2:$A$462,"KIO",BASE_MODELADA!$H$2:$H$462,IF($B$10="Todos","MASCULINO",$B$10),BASE_MODELADA!$I$2:$I$462,IF($B$11="Todos",$A24,$B$11),BASE_MODELADA!$D$2:$D$462,IF($B$12="Todos","*",$B$12),BASE_MODELADA!$O$2:$O$462,1),IF($B$13="Pre-HTA",COUNTIFS(BASE_MODELADA!$A$2:$A$462,"KIO",BASE_MODELADA!$H$2:$H$462,IF($B$10="Todos","MASCULINO",$B$10),BASE_MODELADA!$I$2:$I$462,IF($B$11="Todos",$A24,$B$11),BASE_MODELADA!$D$2:$D$462,IF($B$12="Todos","*",$B$12),BASE_MODELADA!$P$2:$P$462,1),IF($B$13="Sobrepeso",COUNTIFS(BASE_MODELADA!$A$2:$A$462,"KIO",BASE_MODELADA!$H$2:$H$462,IF($B$10="Todos","MASCULINO",$B$10),BASE_MODELADA!$I$2:$I$462,IF($B$11="Todos",$A24,$B$11),BASE_MODELADA!$D$2:$D$462,IF($B$12="Todos","*",$B$12),BASE_MODELADA!$S$2:$S$462,1),IF($B$13="Obesidad",COUNTIFS(BASE_MODELADA!$A$2:$A$462,"KIO",BASE_MODELADA!$H$2:$H$462,IF($B$10="Todos","MASCULINO",$B$10),BASE_MODELADA!$I$2:$I$462,IF($B$11="Todos",$A24,$B$11),BASE_MODELADA!$D$2:$D$462,IF($B$12="Todos","*",$B$12),BASE_MODELADA!$T$2:$T$462,1),IF($B$13="Dislipidemia",COUNTIFS(BASE_MODELADA!$A$2:$A$462,"KIO",BASE_MODELADA!$H$2:$H$462,IF($B$10="Todos","MASCULINO",$B$10),BASE_MODELADA!$I$2:$I$462,IF($B$11="Todos",$A24,$B$11),BASE_MODELADA!$D$2:$D$462,IF($B$12="Todos","*",$B$12),BASE_MODELADA!$Z$2:$Z$462,1),IF($B$13="Tabaquismo",COUNTIFS(BASE_MODELADA!$A$2:$A$462,"KIO",BASE_MODELADA!$H$2:$H$462,IF($B$10="Todos","MASCULINO",$B$10),BASE_MODELADA!$I$2:$I$462,IF($B$11="Todos",$A24,$B$11),BASE_MODELADA!$D$2:$D$462,IF($B$12="Todos","*",$B$12),BASE_MODELADA!$W$2:$W$462,1),0)))))))))</f>
        <v>8</v>
      </c>
      <c r="D24" s="11">
        <f>B24+C24</f>
        <v>13</v>
      </c>
      <c r="E24" s="18">
        <f>IFERROR(D24/$D$17,0)</f>
        <v>3.3078880407124679E-2</v>
      </c>
    </row>
    <row r="25" spans="1:9" x14ac:dyDescent="0.2">
      <c r="A25" s="11" t="s">
        <v>70</v>
      </c>
      <c r="B25" s="11">
        <f>IF($B$13="Todos",COUNTIFS(BASE_MODELADA!$A$2:$A$462,"KIO",BASE_MODELADA!$H$2:$H$462,IF($B$10="Todos","FEMENINO",$B$10),BASE_MODELADA!$I$2:$I$462,IF($B$11="Todos",$A25,$B$11),BASE_MODELADA!$D$2:$D$462,IF($B$12="Todos","*",$B$12),BASE_MODELADA!$AF$2:$AF$462,1),IF($B$13="Diabetes",COUNTIFS(BASE_MODELADA!$A$2:$A$462,"KIO",BASE_MODELADA!$H$2:$H$462,IF($B$10="Todos","FEMENINO",$B$10),BASE_MODELADA!$I$2:$I$462,IF($B$11="Todos",$A25,$B$11),BASE_MODELADA!$D$2:$D$462,IF($B$12="Todos","*",$B$12),BASE_MODELADA!$K$2:$K$462,1),IF($B$13="Prediabetes",COUNTIFS(BASE_MODELADA!$A$2:$A$462,"KIO",BASE_MODELADA!$H$2:$H$462,IF($B$10="Todos","FEMENINO",$B$10),BASE_MODELADA!$I$2:$I$462,IF($B$11="Todos",$A25,$B$11),BASE_MODELADA!$D$2:$D$462,IF($B$12="Todos","*",$B$12),BASE_MODELADA!$L$2:$L$462,1),IF($B$13="HTA",COUNTIFS(BASE_MODELADA!$A$2:$A$462,"KIO",BASE_MODELADA!$H$2:$H$462,IF($B$10="Todos","FEMENINO",$B$10),BASE_MODELADA!$I$2:$I$462,IF($B$11="Todos",$A25,$B$11),BASE_MODELADA!$D$2:$D$462,IF($B$12="Todos","*",$B$12),BASE_MODELADA!$O$2:$O$462,1),IF($B$13="Pre-HTA",COUNTIFS(BASE_MODELADA!$A$2:$A$462,"KIO",BASE_MODELADA!$H$2:$H$462,IF($B$10="Todos","FEMENINO",$B$10),BASE_MODELADA!$I$2:$I$462,IF($B$11="Todos",$A25,$B$11),BASE_MODELADA!$D$2:$D$462,IF($B$12="Todos","*",$B$12),BASE_MODELADA!$P$2:$P$462,1),IF($B$13="Sobrepeso",COUNTIFS(BASE_MODELADA!$A$2:$A$462,"KIO",BASE_MODELADA!$H$2:$H$462,IF($B$10="Todos","FEMENINO",$B$10),BASE_MODELADA!$I$2:$I$462,IF($B$11="Todos",$A25,$B$11),BASE_MODELADA!$D$2:$D$462,IF($B$12="Todos","*",$B$12),BASE_MODELADA!$S$2:$S$462,1),IF($B$13="Obesidad",COUNTIFS(BASE_MODELADA!$A$2:$A$462,"KIO",BASE_MODELADA!$H$2:$H$462,IF($B$10="Todos","FEMENINO",$B$10),BASE_MODELADA!$I$2:$I$462,IF($B$11="Todos",$A25,$B$11),BASE_MODELADA!$D$2:$D$462,IF($B$12="Todos","*",$B$12),BASE_MODELADA!$T$2:$T$462,1),IF($B$13="Dislipidemia",COUNTIFS(BASE_MODELADA!$A$2:$A$462,"KIO",BASE_MODELADA!$H$2:$H$462,IF($B$10="Todos","FEMENINO",$B$10),BASE_MODELADA!$I$2:$I$462,IF($B$11="Todos",$A25,$B$11),BASE_MODELADA!$D$2:$D$462,IF($B$12="Todos","*",$B$12),BASE_MODELADA!$Z$2:$Z$462,1),IF($B$13="Tabaquismo",COUNTIFS(BASE_MODELADA!$A$2:$A$462,"KIO",BASE_MODELADA!$H$2:$H$462,IF($B$10="Todos","FEMENINO",$B$10),BASE_MODELADA!$I$2:$I$462,IF($B$11="Todos",$A25,$B$11),BASE_MODELADA!$D$2:$D$462,IF($B$12="Todos","*",$B$12),BASE_MODELADA!$W$2:$W$462,1),0)))))))))</f>
        <v>6</v>
      </c>
      <c r="C25" s="11">
        <f>IF($B$13="Todos",COUNTIFS(BASE_MODELADA!$A$2:$A$462,"KIO",BASE_MODELADA!$H$2:$H$462,IF($B$10="Todos","MASCULINO",$B$10),BASE_MODELADA!$I$2:$I$462,IF($B$11="Todos",$A25,$B$11),BASE_MODELADA!$D$2:$D$462,IF($B$12="Todos","*",$B$12),BASE_MODELADA!$AF$2:$AF$462,1),IF($B$13="Diabetes",COUNTIFS(BASE_MODELADA!$A$2:$A$462,"KIO",BASE_MODELADA!$H$2:$H$462,IF($B$10="Todos","MASCULINO",$B$10),BASE_MODELADA!$I$2:$I$462,IF($B$11="Todos",$A25,$B$11),BASE_MODELADA!$D$2:$D$462,IF($B$12="Todos","*",$B$12),BASE_MODELADA!$K$2:$K$462,1),IF($B$13="Prediabetes",COUNTIFS(BASE_MODELADA!$A$2:$A$462,"KIO",BASE_MODELADA!$H$2:$H$462,IF($B$10="Todos","MASCULINO",$B$10),BASE_MODELADA!$I$2:$I$462,IF($B$11="Todos",$A25,$B$11),BASE_MODELADA!$D$2:$D$462,IF($B$12="Todos","*",$B$12),BASE_MODELADA!$L$2:$L$462,1),IF($B$13="HTA",COUNTIFS(BASE_MODELADA!$A$2:$A$462,"KIO",BASE_MODELADA!$H$2:$H$462,IF($B$10="Todos","MASCULINO",$B$10),BASE_MODELADA!$I$2:$I$462,IF($B$11="Todos",$A25,$B$11),BASE_MODELADA!$D$2:$D$462,IF($B$12="Todos","*",$B$12),BASE_MODELADA!$O$2:$O$462,1),IF($B$13="Pre-HTA",COUNTIFS(BASE_MODELADA!$A$2:$A$462,"KIO",BASE_MODELADA!$H$2:$H$462,IF($B$10="Todos","MASCULINO",$B$10),BASE_MODELADA!$I$2:$I$462,IF($B$11="Todos",$A25,$B$11),BASE_MODELADA!$D$2:$D$462,IF($B$12="Todos","*",$B$12),BASE_MODELADA!$P$2:$P$462,1),IF($B$13="Sobrepeso",COUNTIFS(BASE_MODELADA!$A$2:$A$462,"KIO",BASE_MODELADA!$H$2:$H$462,IF($B$10="Todos","MASCULINO",$B$10),BASE_MODELADA!$I$2:$I$462,IF($B$11="Todos",$A25,$B$11),BASE_MODELADA!$D$2:$D$462,IF($B$12="Todos","*",$B$12),BASE_MODELADA!$S$2:$S$462,1),IF($B$13="Obesidad",COUNTIFS(BASE_MODELADA!$A$2:$A$462,"KIO",BASE_MODELADA!$H$2:$H$462,IF($B$10="Todos","MASCULINO",$B$10),BASE_MODELADA!$I$2:$I$462,IF($B$11="Todos",$A25,$B$11),BASE_MODELADA!$D$2:$D$462,IF($B$12="Todos","*",$B$12),BASE_MODELADA!$T$2:$T$462,1),IF($B$13="Dislipidemia",COUNTIFS(BASE_MODELADA!$A$2:$A$462,"KIO",BASE_MODELADA!$H$2:$H$462,IF($B$10="Todos","MASCULINO",$B$10),BASE_MODELADA!$I$2:$I$462,IF($B$11="Todos",$A25,$B$11),BASE_MODELADA!$D$2:$D$462,IF($B$12="Todos","*",$B$12),BASE_MODELADA!$Z$2:$Z$462,1),IF($B$13="Tabaquismo",COUNTIFS(BASE_MODELADA!$A$2:$A$462,"KIO",BASE_MODELADA!$H$2:$H$462,IF($B$10="Todos","MASCULINO",$B$10),BASE_MODELADA!$I$2:$I$462,IF($B$11="Todos",$A25,$B$11),BASE_MODELADA!$D$2:$D$462,IF($B$12="Todos","*",$B$12),BASE_MODELADA!$W$2:$W$462,1),0)))))))))</f>
        <v>2</v>
      </c>
      <c r="D25" s="11">
        <f>B25+C25</f>
        <v>8</v>
      </c>
      <c r="E25" s="18">
        <f>IFERROR(D25/$D$17,0)</f>
        <v>2.0356234096692113E-2</v>
      </c>
    </row>
    <row r="26" spans="1:9" x14ac:dyDescent="0.2">
      <c r="A26" s="11" t="s">
        <v>85</v>
      </c>
      <c r="B26" s="11">
        <f>IF($B$13="Todos",COUNTIFS(BASE_MODELADA!$A$2:$A$462,"KIO",BASE_MODELADA!$H$2:$H$462,IF($B$10="Todos","FEMENINO",$B$10),BASE_MODELADA!$I$2:$I$462,IF($B$11="Todos",$A26,$B$11),BASE_MODELADA!$D$2:$D$462,IF($B$12="Todos","*",$B$12),BASE_MODELADA!$AF$2:$AF$462,1),IF($B$13="Diabetes",COUNTIFS(BASE_MODELADA!$A$2:$A$462,"KIO",BASE_MODELADA!$H$2:$H$462,IF($B$10="Todos","FEMENINO",$B$10),BASE_MODELADA!$I$2:$I$462,IF($B$11="Todos",$A26,$B$11),BASE_MODELADA!$D$2:$D$462,IF($B$12="Todos","*",$B$12),BASE_MODELADA!$K$2:$K$462,1),IF($B$13="Prediabetes",COUNTIFS(BASE_MODELADA!$A$2:$A$462,"KIO",BASE_MODELADA!$H$2:$H$462,IF($B$10="Todos","FEMENINO",$B$10),BASE_MODELADA!$I$2:$I$462,IF($B$11="Todos",$A26,$B$11),BASE_MODELADA!$D$2:$D$462,IF($B$12="Todos","*",$B$12),BASE_MODELADA!$L$2:$L$462,1),IF($B$13="HTA",COUNTIFS(BASE_MODELADA!$A$2:$A$462,"KIO",BASE_MODELADA!$H$2:$H$462,IF($B$10="Todos","FEMENINO",$B$10),BASE_MODELADA!$I$2:$I$462,IF($B$11="Todos",$A26,$B$11),BASE_MODELADA!$D$2:$D$462,IF($B$12="Todos","*",$B$12),BASE_MODELADA!$O$2:$O$462,1),IF($B$13="Pre-HTA",COUNTIFS(BASE_MODELADA!$A$2:$A$462,"KIO",BASE_MODELADA!$H$2:$H$462,IF($B$10="Todos","FEMENINO",$B$10),BASE_MODELADA!$I$2:$I$462,IF($B$11="Todos",$A26,$B$11),BASE_MODELADA!$D$2:$D$462,IF($B$12="Todos","*",$B$12),BASE_MODELADA!$P$2:$P$462,1),IF($B$13="Sobrepeso",COUNTIFS(BASE_MODELADA!$A$2:$A$462,"KIO",BASE_MODELADA!$H$2:$H$462,IF($B$10="Todos","FEMENINO",$B$10),BASE_MODELADA!$I$2:$I$462,IF($B$11="Todos",$A26,$B$11),BASE_MODELADA!$D$2:$D$462,IF($B$12="Todos","*",$B$12),BASE_MODELADA!$S$2:$S$462,1),IF($B$13="Obesidad",COUNTIFS(BASE_MODELADA!$A$2:$A$462,"KIO",BASE_MODELADA!$H$2:$H$462,IF($B$10="Todos","FEMENINO",$B$10),BASE_MODELADA!$I$2:$I$462,IF($B$11="Todos",$A26,$B$11),BASE_MODELADA!$D$2:$D$462,IF($B$12="Todos","*",$B$12),BASE_MODELADA!$T$2:$T$462,1),IF($B$13="Dislipidemia",COUNTIFS(BASE_MODELADA!$A$2:$A$462,"KIO",BASE_MODELADA!$H$2:$H$462,IF($B$10="Todos","FEMENINO",$B$10),BASE_MODELADA!$I$2:$I$462,IF($B$11="Todos",$A26,$B$11),BASE_MODELADA!$D$2:$D$462,IF($B$12="Todos","*",$B$12),BASE_MODELADA!$Z$2:$Z$462,1),IF($B$13="Tabaquismo",COUNTIFS(BASE_MODELADA!$A$2:$A$462,"KIO",BASE_MODELADA!$H$2:$H$462,IF($B$10="Todos","FEMENINO",$B$10),BASE_MODELADA!$I$2:$I$462,IF($B$11="Todos",$A26,$B$11),BASE_MODELADA!$D$2:$D$462,IF($B$12="Todos","*",$B$12),BASE_MODELADA!$W$2:$W$462,1),0)))))))))</f>
        <v>0</v>
      </c>
      <c r="C26" s="11">
        <f>IF($B$13="Todos",COUNTIFS(BASE_MODELADA!$A$2:$A$462,"KIO",BASE_MODELADA!$H$2:$H$462,IF($B$10="Todos","MASCULINO",$B$10),BASE_MODELADA!$I$2:$I$462,IF($B$11="Todos",$A26,$B$11),BASE_MODELADA!$D$2:$D$462,IF($B$12="Todos","*",$B$12),BASE_MODELADA!$AF$2:$AF$462,1),IF($B$13="Diabetes",COUNTIFS(BASE_MODELADA!$A$2:$A$462,"KIO",BASE_MODELADA!$H$2:$H$462,IF($B$10="Todos","MASCULINO",$B$10),BASE_MODELADA!$I$2:$I$462,IF($B$11="Todos",$A26,$B$11),BASE_MODELADA!$D$2:$D$462,IF($B$12="Todos","*",$B$12),BASE_MODELADA!$K$2:$K$462,1),IF($B$13="Prediabetes",COUNTIFS(BASE_MODELADA!$A$2:$A$462,"KIO",BASE_MODELADA!$H$2:$H$462,IF($B$10="Todos","MASCULINO",$B$10),BASE_MODELADA!$I$2:$I$462,IF($B$11="Todos",$A26,$B$11),BASE_MODELADA!$D$2:$D$462,IF($B$12="Todos","*",$B$12),BASE_MODELADA!$L$2:$L$462,1),IF($B$13="HTA",COUNTIFS(BASE_MODELADA!$A$2:$A$462,"KIO",BASE_MODELADA!$H$2:$H$462,IF($B$10="Todos","MASCULINO",$B$10),BASE_MODELADA!$I$2:$I$462,IF($B$11="Todos",$A26,$B$11),BASE_MODELADA!$D$2:$D$462,IF($B$12="Todos","*",$B$12),BASE_MODELADA!$O$2:$O$462,1),IF($B$13="Pre-HTA",COUNTIFS(BASE_MODELADA!$A$2:$A$462,"KIO",BASE_MODELADA!$H$2:$H$462,IF($B$10="Todos","MASCULINO",$B$10),BASE_MODELADA!$I$2:$I$462,IF($B$11="Todos",$A26,$B$11),BASE_MODELADA!$D$2:$D$462,IF($B$12="Todos","*",$B$12),BASE_MODELADA!$P$2:$P$462,1),IF($B$13="Sobrepeso",COUNTIFS(BASE_MODELADA!$A$2:$A$462,"KIO",BASE_MODELADA!$H$2:$H$462,IF($B$10="Todos","MASCULINO",$B$10),BASE_MODELADA!$I$2:$I$462,IF($B$11="Todos",$A26,$B$11),BASE_MODELADA!$D$2:$D$462,IF($B$12="Todos","*",$B$12),BASE_MODELADA!$S$2:$S$462,1),IF($B$13="Obesidad",COUNTIFS(BASE_MODELADA!$A$2:$A$462,"KIO",BASE_MODELADA!$H$2:$H$462,IF($B$10="Todos","MASCULINO",$B$10),BASE_MODELADA!$I$2:$I$462,IF($B$11="Todos",$A26,$B$11),BASE_MODELADA!$D$2:$D$462,IF($B$12="Todos","*",$B$12),BASE_MODELADA!$T$2:$T$462,1),IF($B$13="Dislipidemia",COUNTIFS(BASE_MODELADA!$A$2:$A$462,"KIO",BASE_MODELADA!$H$2:$H$462,IF($B$10="Todos","MASCULINO",$B$10),BASE_MODELADA!$I$2:$I$462,IF($B$11="Todos",$A26,$B$11),BASE_MODELADA!$D$2:$D$462,IF($B$12="Todos","*",$B$12),BASE_MODELADA!$Z$2:$Z$462,1),IF($B$13="Tabaquismo",COUNTIFS(BASE_MODELADA!$A$2:$A$462,"KIO",BASE_MODELADA!$H$2:$H$462,IF($B$10="Todos","MASCULINO",$B$10),BASE_MODELADA!$I$2:$I$462,IF($B$11="Todos",$A26,$B$11),BASE_MODELADA!$D$2:$D$462,IF($B$12="Todos","*",$B$12),BASE_MODELADA!$W$2:$W$462,1),0)))))))))</f>
        <v>2</v>
      </c>
      <c r="D26" s="11">
        <f>B26+C26</f>
        <v>2</v>
      </c>
      <c r="E26" s="18">
        <f>IFERROR(D26/$D$17,0)</f>
        <v>5.0890585241730284E-3</v>
      </c>
    </row>
    <row r="28" spans="1:9" x14ac:dyDescent="0.2">
      <c r="A28" s="21" t="s">
        <v>571</v>
      </c>
      <c r="B28" s="20"/>
      <c r="C28" s="20"/>
      <c r="D28" s="20"/>
      <c r="E28" s="20"/>
      <c r="F28" s="20"/>
    </row>
    <row r="29" spans="1:9" ht="16" x14ac:dyDescent="0.2">
      <c r="A29" s="3" t="s">
        <v>572</v>
      </c>
      <c r="B29" s="3" t="s">
        <v>530</v>
      </c>
      <c r="C29" s="17" t="s">
        <v>570</v>
      </c>
    </row>
    <row r="30" spans="1:9" x14ac:dyDescent="0.2">
      <c r="A30" s="12" t="s">
        <v>573</v>
      </c>
      <c r="B30" s="12">
        <f>COUNTIFS(BASE_MODELADA!$A$2:$A$462,"KIO",BASE_MODELADA!$H$2:$H$462,IF($B$10="Todos","*",$B$10),BASE_MODELADA!$I$2:$I$462,IF($B$11="Todos","*",$B$11),BASE_MODELADA!$D$2:$D$462,IF($B$12="Todos","*",$B$12),BASE_MODELADA!$U$2:$U$462,1,BASE_MODELADA!$R$2:$R$462,"NORMOPESO")</f>
        <v>77</v>
      </c>
      <c r="C30" s="18">
        <f>IFERROR(B30/SUM($B$30:$B$32),0)</f>
        <v>0.19896640826873385</v>
      </c>
    </row>
    <row r="31" spans="1:9" x14ac:dyDescent="0.2">
      <c r="A31" s="12" t="s">
        <v>574</v>
      </c>
      <c r="B31" s="12">
        <f>COUNTIFS(BASE_MODELADA!$A$2:$A$462,"KIO",BASE_MODELADA!$H$2:$H$462,IF($B$10="Todos","*",$B$10),BASE_MODELADA!$I$2:$I$462,IF($B$11="Todos","*",$B$11),BASE_MODELADA!$D$2:$D$462,IF($B$12="Todos","*",$B$12),BASE_MODELADA!$U$2:$U$462,1,BASE_MODELADA!$R$2:$R$462,"SOBREPESO")</f>
        <v>172</v>
      </c>
      <c r="C31" s="18">
        <f>IFERROR(B31/SUM($B$30:$B$32),0)</f>
        <v>0.44444444444444442</v>
      </c>
    </row>
    <row r="32" spans="1:9" x14ac:dyDescent="0.2">
      <c r="A32" s="12" t="s">
        <v>575</v>
      </c>
      <c r="B32" s="12">
        <f>COUNTIFS(BASE_MODELADA!$A$2:$A$462,"KIO",BASE_MODELADA!$H$2:$H$462,IF($B$10="Todos","*",$B$10),BASE_MODELADA!$I$2:$I$462,IF($B$11="Todos","*",$B$11),BASE_MODELADA!$D$2:$D$462,IF($B$12="Todos","*",$B$12),BASE_MODELADA!$U$2:$U$462,1,BASE_MODELADA!$R$2:$R$462,"OBESIDAD")</f>
        <v>138</v>
      </c>
      <c r="C32" s="18">
        <f>IFERROR(B32/SUM($B$30:$B$32),0)</f>
        <v>0.35658914728682173</v>
      </c>
    </row>
    <row r="34" spans="1:6" x14ac:dyDescent="0.2">
      <c r="A34" s="21" t="s">
        <v>576</v>
      </c>
      <c r="B34" s="20"/>
      <c r="C34" s="20"/>
      <c r="D34" s="20"/>
      <c r="E34" s="20"/>
      <c r="F34" s="20"/>
    </row>
    <row r="35" spans="1:6" ht="16" x14ac:dyDescent="0.2">
      <c r="A35" s="3" t="s">
        <v>577</v>
      </c>
      <c r="B35" s="3" t="s">
        <v>530</v>
      </c>
      <c r="C35" s="17" t="s">
        <v>570</v>
      </c>
    </row>
    <row r="36" spans="1:6" x14ac:dyDescent="0.2">
      <c r="A36" s="12" t="s">
        <v>52</v>
      </c>
      <c r="B36" s="12">
        <f>COUNTIFS(BASE_MODELADA!$A$2:$A$462,"KIO",BASE_MODELADA!$H$2:$H$462,IF($B$10="Todos","*",$B$10),BASE_MODELADA!$I$2:$I$462,IF($B$11="Todos","*",$B$11),BASE_MODELADA!$D$2:$D$462,IF($B$12="Todos","*",$B$12),BASE_MODELADA!$AA$2:$AA$462,1,BASE_MODELADA!$Y$2:$Y$462,"SI")</f>
        <v>202</v>
      </c>
      <c r="C36" s="18">
        <f>IFERROR(B36/SUM($B$36:$B$38),0)</f>
        <v>0.51269035532994922</v>
      </c>
    </row>
    <row r="37" spans="1:6" x14ac:dyDescent="0.2">
      <c r="A37" s="12" t="s">
        <v>53</v>
      </c>
      <c r="B37" s="12">
        <f>COUNTIFS(BASE_MODELADA!$A$2:$A$462,"KIO",BASE_MODELADA!$H$2:$H$462,IF($B$10="Todos","*",$B$10),BASE_MODELADA!$I$2:$I$462,IF($B$11="Todos","*",$B$11),BASE_MODELADA!$D$2:$D$462,IF($B$12="Todos","*",$B$12),BASE_MODELADA!$AA$2:$AA$462,1,BASE_MODELADA!$Y$2:$Y$462,"NO")</f>
        <v>192</v>
      </c>
      <c r="C37" s="18">
        <f>IFERROR(B37/SUM($B$36:$B$38),0)</f>
        <v>0.48730964467005078</v>
      </c>
    </row>
    <row r="38" spans="1:6" x14ac:dyDescent="0.2">
      <c r="A38" s="12" t="s">
        <v>91</v>
      </c>
      <c r="B38" s="12">
        <f>COUNTIFS(BASE_MODELADA!$A$2:$A$462,"KIO",BASE_MODELADA!$H$2:$H$462,IF($B$10="Todos","*",$B$10),BASE_MODELADA!$I$2:$I$462,IF($B$11="Todos","*",$B$11),BASE_MODELADA!$D$2:$D$462,IF($B$12="Todos","*",$B$12),BASE_MODELADA!$AA$2:$AA$462,1,BASE_MODELADA!$Y$2:$Y$462,"NA")</f>
        <v>0</v>
      </c>
      <c r="C38" s="18">
        <f>IFERROR(B38/SUM($B$36:$B$38),0)</f>
        <v>0</v>
      </c>
    </row>
  </sheetData>
  <mergeCells count="9">
    <mergeCell ref="A34:F34"/>
    <mergeCell ref="A2:J7"/>
    <mergeCell ref="A20:F20"/>
    <mergeCell ref="D10:J13"/>
    <mergeCell ref="A1:J1"/>
    <mergeCell ref="A28:F28"/>
    <mergeCell ref="A14:J14"/>
    <mergeCell ref="A9:J9"/>
    <mergeCell ref="A15:J15"/>
  </mergeCells>
  <dataValidations count="5">
    <dataValidation type="list" sqref="B10" xr:uid="{00000000-0002-0000-0700-000000000000}">
      <formula1>"Todos,FEMENINO,MASCULINO"</formula1>
    </dataValidation>
    <dataValidation type="list" sqref="B11" xr:uid="{00000000-0002-0000-0700-000001000000}">
      <formula1>"Todos,18-25,26-35,36-45,46-55,56+"</formula1>
    </dataValidation>
    <dataValidation type="list" sqref="B12" xr:uid="{00000000-0002-0000-0700-000002000000}">
      <formula1>"Todos,IT SERVICES,DATA CENTERS,SIN CLASIFICAR"</formula1>
    </dataValidation>
    <dataValidation type="list" sqref="B13" xr:uid="{00000000-0002-0000-0700-000003000000}">
      <formula1>"Todos,Diabetes,Prediabetes,HTA,Pre-HTA,Sobrepeso,Obesidad,Tabaquismo,Dislipidemia"</formula1>
    </dataValidation>
    <dataValidation type="list" sqref="B14" xr:uid="{00000000-0002-0000-0700-000004000000}">
      <formula1>"Todos,Foraneos,KIO 24,Kio 2 dic,Kio 25,Kio 26,Kio 27"</formula1>
    </dataValidation>
  </dataValidation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BASE_MODELADA</vt:lpstr>
      <vt:lpstr>DATA_QUALITY</vt:lpstr>
      <vt:lpstr>METODOLOGÍA_CLÍNICA</vt:lpstr>
      <vt:lpstr>OPERATIVO</vt:lpstr>
      <vt:lpstr>DIC_DISLIPIDEMIA</vt:lpstr>
      <vt:lpstr>ORIFLAME</vt:lpstr>
      <vt:lpstr>KIO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santos</cp:lastModifiedBy>
  <dcterms:created xsi:type="dcterms:W3CDTF">2026-01-08T03:42:06Z</dcterms:created>
  <dcterms:modified xsi:type="dcterms:W3CDTF">2026-01-08T17:43:40Z</dcterms:modified>
</cp:coreProperties>
</file>